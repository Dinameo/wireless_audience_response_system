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5" showHorizontalScroll="1" showVerticalScroll="1"/>
  </bookViews>
  <sheets>
    <sheet name="Tổng quan" sheetId="1" state="visible" r:id="rId1"/>
    <sheet name="BOM PCB" sheetId="2" state="visible" r:id="rId2"/>
    <sheet name="Vật tư thêm" sheetId="3" state="visible" r:id="rId3"/>
    <sheet name="Chi tiết PCB" sheetId="4" state="visible" r:id="rId4"/>
    <sheet name="Lưu ý" sheetId="5" state="visible" r:id="rId5"/>
    <sheet name="Nguồn dữ liệu" sheetId="6" state="visible" r:id="rId6"/>
  </sheets>
  <definedNames>
    <definedName name="_xlnm.Print_Area" localSheetId="0">'Tổng quan'!$A$1:$D$17</definedName>
    <definedName name="_xlnm._FilterDatabase" localSheetId="1" hidden="1">'BOM PCB'!$A$6:$R$15</definedName>
    <definedName name="Print_Titles" localSheetId="1">'BOM PCB'!$1:$6</definedName>
    <definedName name="_xlnm.Print_Area" localSheetId="1">'BOM PCB'!$A$1:$R$17</definedName>
    <definedName name="_xlnm._FilterDatabase" localSheetId="2" hidden="1">'Vật tư thêm'!$A$6:$M$13</definedName>
    <definedName name="_xlnm.Print_Area" localSheetId="2">'Vật tư thêm'!$A$1:$M$15</definedName>
    <definedName name="_xlnm._FilterDatabase" localSheetId="3" hidden="1">'Chi tiết PCB'!$A$6:$K$38</definedName>
    <definedName name="_xlnm.Print_Area" localSheetId="3">'Chi tiết PCB'!$A$1:$K$38</definedName>
    <definedName name="_xlnm._FilterDatabase" localSheetId="4" hidden="1">'Lưu ý'!$A$6:$E$18</definedName>
    <definedName name="_xlnm.Print_Area" localSheetId="4">'Lưu ý'!$A$1:$E$18</definedName>
    <definedName name="_xlnm.Print_Area" localSheetId="5">'Nguồn dữ liệu'!$A$1:$E$21</definedName>
    <definedName name="_xlnm._FilterDatabase" localSheetId="1" hidden="1">'BOM PCB'!$A$6:$R$15</definedName>
    <definedName name="_xlnm._FilterDatabase" localSheetId="2" hidden="1">'Vật tư thêm'!$A$6:$M$13</definedName>
    <definedName name="_xlnm._FilterDatabase" localSheetId="3" hidden="1">'Chi tiết PCB'!$A$6:$K$38</definedName>
    <definedName name="_xlnm._FilterDatabase" localSheetId="4" hidden="1">'Lưu ý'!$A$6:$E$18</definedName>
  </definedNames>
  <calcPr calcMode="auto"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<sst xmlns="http://schemas.openxmlformats.org/spreadsheetml/2006/main" count="273" uniqueCount="273">
  <si>
    <t xml:space="preserve">Số bo PCB cần làm</t>
  </si>
  <si>
    <t xml:space="preserve">Hao hụt mặc định</t>
  </si>
  <si>
    <t xml:space="preserve">Footprint trên PCB</t>
  </si>
  <si>
    <t xml:space="preserve">Linh kiện theo PCB / bo</t>
  </si>
  <si>
    <t xml:space="preserve">Số nhóm linh kiện</t>
  </si>
  <si>
    <t xml:space="preserve">Lỗ M3 (không phải linh kiện mua)</t>
  </si>
  <si>
    <t xml:space="preserve">Dòng BOM PCB chưa nhập đơn giá</t>
  </si>
  <si>
    <t xml:space="preserve">Dòng vật tư thêm bắt buộc chưa có giá</t>
  </si>
  <si>
    <t xml:space="preserve">Dự toán chi phí linh kiện / toàn bộ PCB</t>
  </si>
  <si>
    <t xml:space="preserve">Dự toán đầy đủ (PCB + vật tư có chọn mua)</t>
  </si>
  <si>
    <t xml:space="preserve">Phạm vi</t>
  </si>
  <si>
    <t xml:space="preserve">BOM_PCB: 9 nhóm / 28 vị trí linh kiện đúng theo 2 file KiCad.</t>
  </si>
  <si>
    <t xml:space="preserve">VAT_TU_THEM: module nRF52840, đặt gia công PCB, cọc/chân header và bộ vít nếu sử dụng.</t>
  </si>
  <si>
    <t xml:space="preserve">CHI_TIET_PCB: đối chiếu đủ 32 footprint, gồm 4 lỗ M3 chỉ thuộc PCB.</t>
  </si>
  <si>
    <t xml:space="preserve">Các ô chữ xanh là ô được phép điền: số PCB, hao hụt, giá, mã SKU, nhà bán và tùy chọn mua.</t>
  </si>
  <si>
    <t xml:space="preserve">Nhập đơn giá thực tế (VND) trong BOM_PCB và VAT_TU_THEM để tính chi phí; không tự đặt giá tham khảo.</t>
  </si>
  <si>
    <t xml:space="preserve">Chỉ mua pin CR2032-HFN có chân hàn đúng footprint, trừ khi đổi thiết kế BT1.</t>
  </si>
  <si>
    <t xml:space="preserve">BOM LINH KIỆN GẮN TRÊN PCB</t>
  </si>
  <si>
    <t xml:space="preserve">28 vị trí linh kiện điện tử, 9 nhóm vật tư. Giá trị &amp; footprint theo project, giá/SKU là ô nhập tay.</t>
  </si>
  <si>
    <t>STT</t>
  </si>
  <si>
    <t>Reference</t>
  </si>
  <si>
    <t xml:space="preserve">Tên linh kiện</t>
  </si>
  <si>
    <t xml:space="preserve">Giá trị / model</t>
  </si>
  <si>
    <t xml:space="preserve">Footprint trong PCB</t>
  </si>
  <si>
    <t xml:space="preserve">Mặt PCB</t>
  </si>
  <si>
    <t xml:space="preserve">SL / 1 bo</t>
  </si>
  <si>
    <t xml:space="preserve">Số bo</t>
  </si>
  <si>
    <t xml:space="preserve">Dự phòng %</t>
  </si>
  <si>
    <t xml:space="preserve">SL cần mua</t>
  </si>
  <si>
    <t>ĐVT</t>
  </si>
  <si>
    <t xml:space="preserve">Đơn giá (VND)</t>
  </si>
  <si>
    <t xml:space="preserve">Thành tiền (VND)</t>
  </si>
  <si>
    <t xml:space="preserve">Mã đặt hàng / MPN</t>
  </si>
  <si>
    <t xml:space="preserve">Nhà cung cấp</t>
  </si>
  <si>
    <t xml:space="preserve">URL sản phẩm</t>
  </si>
  <si>
    <t xml:space="preserve">Trạng thái</t>
  </si>
  <si>
    <t xml:space="preserve">Ghi chú / điều cần xác nhận</t>
  </si>
  <si>
    <t xml:space="preserve">R1, R2, R3, R4, R5</t>
  </si>
  <si>
    <t xml:space="preserve">Điện trở chân cắm</t>
  </si>
  <si>
    <t xml:space="preserve">10 kΩ</t>
  </si>
  <si>
    <t>Resistor_THT:R_Axial_DIN0207_L6.3mm_D2.5mm_P7.62mm_Horizontal</t>
  </si>
  <si>
    <t xml:space="preserve">Mặt trước (F.Cu)</t>
  </si>
  <si>
    <t>cái</t>
  </si>
  <si>
    <t xml:space="preserve">CHƯA CÓ SKU</t>
  </si>
  <si>
    <t xml:space="preserve"> 1/4W thông dụng; thân gần 6,3×2,5 mm; bước chân 7,62 mm. Dung sai và hãng chưa được chỉ định.
 Cần chốt dung sai/nhà cung cấp.</t>
  </si>
  <si>
    <t xml:space="preserve">R6, R7, R8</t>
  </si>
  <si>
    <t xml:space="preserve">Điện trở hạn dòng LED</t>
  </si>
  <si>
    <t xml:space="preserve">330 Ω</t>
  </si>
  <si>
    <t xml:space="preserve">1/4W thông dụng; thân gần 6,3×2,5 mm; bước chân 7,62 mm.
Kiểm tra dòng LED theo màu/điện áp thực tế.</t>
  </si>
  <si>
    <t xml:space="preserve">C1, C2</t>
  </si>
  <si>
    <t xml:space="preserve">Tụ phân cực chân cắm</t>
  </si>
  <si>
    <t xml:space="preserve">10 µF</t>
  </si>
  <si>
    <t>Capacitor_THT:CP_Radial_D4.0mm_P2.00mm</t>
  </si>
  <si>
    <t xml:space="preserve">CẦN XÁC NHẬN</t>
  </si>
  <si>
    <t xml:space="preserve">D4,0 mm, P2,0 mm; điện áp định mức/chều cao chưa xác định trong schematic.
Ưu tiên điện áp định mức phù hợp và kiểm tra cực tính.</t>
  </si>
  <si>
    <t xml:space="preserve">C3, C4, C5, C6, C7</t>
  </si>
  <si>
    <t xml:space="preserve">1 µF</t>
  </si>
  <si>
    <t>Capacitor_THT:CP_Radial_D5.0mm_P2.00mm</t>
  </si>
  <si>
    <t xml:space="preserve">D5,0 mm, P2,0 mm; điện áp định mức/chều cao chưa xác định trong schematic.
Tụ phân cực trong mạch nút nhấn: phải kiểm tra điện áp hai đầu và chiều lắp.</t>
  </si>
  <si>
    <t xml:space="preserve">D1, D2, D3</t>
  </si>
  <si>
    <t xml:space="preserve">LED chân cắm 5 mm</t>
  </si>
  <si>
    <t xml:space="preserve">LED D5.0</t>
  </si>
  <si>
    <t>LED_THT:LED_D5.0mm</t>
  </si>
  <si>
    <t xml:space="preserve">Màu sắc, Vf, If và mã linh kiện chưa được khai báo.
Chốt màu LED và hướng A/K theo ký hiệu PCB.</t>
  </si>
  <si>
    <t xml:space="preserve">SW1, SW2, SW3, SW4, SW5, SW7</t>
  </si>
  <si>
    <t xml:space="preserve">Nút nhấn THT 6×6 mm</t>
  </si>
  <si>
    <t xml:space="preserve">Tactile, H4.3</t>
  </si>
  <si>
    <t>Button_Switch_THT:SW_PUSH_6mm_H4.3mm</t>
  </si>
  <si>
    <t xml:space="preserve">Nút nhấn 4 chân, chiều cao 4,3 mm theo tên footprint; xác nhận vị trí 4 chân.
SW1-4: A-D; SW5: SUBMIT; SW7: RESET.</t>
  </si>
  <si>
    <t>SW6</t>
  </si>
  <si>
    <t xml:space="preserve">Công tắc gạt SPDT</t>
  </si>
  <si>
    <t>SS12D10</t>
  </si>
  <si>
    <t>SW_SS12D10_SPDT:SS12D10_SPDT_v1</t>
  </si>
  <si>
    <t xml:space="preserve">Footprint tùy biến v1; 3 chân tại x=-4,7 / 0 / +4,7 mm.
BẮT BUỘC đo chân switch thực mua khớp footprint tùy biến.</t>
  </si>
  <si>
    <t xml:space="preserve">J1, J2</t>
  </si>
  <si>
    <t xml:space="preserve">Socket cái thẳng 1×13</t>
  </si>
  <si>
    <t xml:space="preserve">2.54 mm, 13P</t>
  </si>
  <si>
    <t>Connector_PinSocket_2.54mm:PinSocket_1x13_P2.54mm_Vertical</t>
  </si>
  <si>
    <t xml:space="preserve">Mặt sau (B.Cu)</t>
  </si>
  <si>
    <t xml:space="preserve">Loại xuyên lỗ chân thẳng, 13 chân/hàng; cả hai đang ở B.Cu (mặt dưới).
Kiểm tra module nRF52840 2×13 và hướng cắm; mua 2 thanh 13P.</t>
  </si>
  <si>
    <t>BT1</t>
  </si>
  <si>
    <t xml:space="preserve">Pin CR2032 có chân hàn</t>
  </si>
  <si>
    <t>CR2032-HFN</t>
  </si>
  <si>
    <t>Battery:Battery_Panasonic_CR2032-HFN_Horizontal_CircularHoles</t>
  </si>
  <si>
    <t xml:space="preserve">Footprint Panasonic CR2032-HFN nằm ngang, kiểu pin hàn trực tiếp (không phải đế pin tháo rời).
Pin sơ cấp 3 V: KHÔNG sạc. Nếu muốn dùng đế pin thì phải sửa footprint PCB.</t>
  </si>
  <si>
    <t xml:space="preserve">TỔNG LINH KIỆN GẮN PCB</t>
  </si>
  <si>
    <t xml:space="preserve">VẬT TƯ BỔ SUNG &amp; PHỤ KIỆN LẮP RÁP</t>
  </si>
  <si>
    <t xml:space="preserve">Không phải tất cả đều xuất hiện trong Schematic. Cột MUA? cho phép chỉ tính vật tư thật sự cần.</t>
  </si>
  <si>
    <t>Loại</t>
  </si>
  <si>
    <t xml:space="preserve">Tên vật tư</t>
  </si>
  <si>
    <t xml:space="preserve">Thông số cần mua / chọn</t>
  </si>
  <si>
    <t>MUA?</t>
  </si>
  <si>
    <t xml:space="preserve">Ghi chú mua hàng</t>
  </si>
  <si>
    <t xml:space="preserve">Bắt buộc</t>
  </si>
  <si>
    <t xml:space="preserve">Bo mạch PCB gia công</t>
  </si>
  <si>
    <t xml:space="preserve">FR-4 2 lớp, dày 1,6 mm; theo Gerber cuối cùng</t>
  </si>
  <si>
    <t>Có</t>
  </si>
  <si>
    <t xml:space="preserve">Chi phí sản xuất PCB, không phải linh kiện điện tử; thông số board thickness trong file PCB là 1,6 mm.</t>
  </si>
  <si>
    <t xml:space="preserve">Tùy kiện</t>
  </si>
  <si>
    <t xml:space="preserve">Thanh header đực 1×13, P2.54</t>
  </si>
  <si>
    <t xml:space="preserve">2 thanh 13 chân; chỉ cần nếu module nRF52840 chưa có chân hàn sẵn</t>
  </si>
  <si>
    <t>Không</t>
  </si>
  <si>
    <t xml:space="preserve">Không mua trùng nếu module đã gắn pin đực.</t>
  </si>
  <si>
    <t xml:space="preserve">Vít M3</t>
  </si>
  <si>
    <t xml:space="preserve">Bộ vít M3 theo chiều dày vỏ/spacer thực tế</t>
  </si>
  <si>
    <t xml:space="preserve">Lắp vào H1-H4, lỗ khoan 3,2 mm; cần chọn chiều dài thực tế.</t>
  </si>
  <si>
    <t xml:space="preserve">Đai ốc M3</t>
  </si>
  <si>
    <t xml:space="preserve">Đai ốc M3 (nếu không có ren âm / insert)</t>
  </si>
  <si>
    <t xml:space="preserve">Cân nhắc cơ cấu bắt vào vỏ.</t>
  </si>
  <si>
    <t xml:space="preserve">Long đền M3</t>
  </si>
  <si>
    <t xml:space="preserve">Đệm M3 nếu cần tránh tác động lên PCB</t>
  </si>
  <si>
    <t xml:space="preserve">Kiểm tra đường kính ngoài đệm không chạm đường đồng/linh kiện.</t>
  </si>
  <si>
    <t xml:space="preserve">Spacer M3</t>
  </si>
  <si>
    <t xml:space="preserve">Trụ cách M3, chiều cao theo vỏ/mặt bo</t>
  </si>
  <si>
    <t xml:space="preserve">Không chọn chiều cao cho đến khi có thiết kế vỏ.</t>
  </si>
  <si>
    <t xml:space="preserve">Vỏ / in 3D</t>
  </si>
  <si>
    <t xml:space="preserve">Vỏ bảo vệ remote nRF52840, thiết kế theo kích thước PCB</t>
  </si>
  <si>
    <t xml:space="preserve">Không có bản vẽ cơ khí vỏ trong dự án KiCad hiện tại.</t>
  </si>
  <si>
    <t xml:space="preserve">TỔNG VẬT TƯ CHỌN MUA</t>
  </si>
  <si>
    <t xml:space="preserve">DANH SÁCH 32 FOOTPRINT - ĐỐI CHIẾU</t>
  </si>
  <si>
    <t xml:space="preserve">Nguồn dữ liệu: file .kicad_pcb đối chiếu .kicad_sch. H1-H4: board-only, không đếm làm linh kiện mua.</t>
  </si>
  <si>
    <t xml:space="preserve">Giá trị (Sch)</t>
  </si>
  <si>
    <t xml:space="preserve">Giá trị (PCB)</t>
  </si>
  <si>
    <t xml:space="preserve">KiCad symbol</t>
  </si>
  <si>
    <t xml:space="preserve">Footprint (trong PCB)</t>
  </si>
  <si>
    <t>Pads</t>
  </si>
  <si>
    <t xml:space="preserve">Có trong Schematic?</t>
  </si>
  <si>
    <t xml:space="preserve">Là linh kiện BOM?</t>
  </si>
  <si>
    <t xml:space="preserve">Giá trị / FP trùng Sch?</t>
  </si>
  <si>
    <t xml:space="preserve">Ghi chú</t>
  </si>
  <si>
    <t>Battery_Cell</t>
  </si>
  <si>
    <t>Device:Battery_Cell</t>
  </si>
  <si>
    <t>F.Cu</t>
  </si>
  <si>
    <t>Khớp</t>
  </si>
  <si>
    <t xml:space="preserve">CR2032-HFN hàn trực tiếp, không phải đế pin.</t>
  </si>
  <si>
    <t>C1</t>
  </si>
  <si>
    <t>10uF</t>
  </si>
  <si>
    <t>Device:C_Polarized</t>
  </si>
  <si>
    <t>C2</t>
  </si>
  <si>
    <t>C3</t>
  </si>
  <si>
    <t>1uF</t>
  </si>
  <si>
    <t>C4</t>
  </si>
  <si>
    <t>C5</t>
  </si>
  <si>
    <t>C6</t>
  </si>
  <si>
    <t>C7</t>
  </si>
  <si>
    <t>D1</t>
  </si>
  <si>
    <t>LED</t>
  </si>
  <si>
    <t>Device:LED</t>
  </si>
  <si>
    <t>D2</t>
  </si>
  <si>
    <t>D3</t>
  </si>
  <si>
    <t>H1</t>
  </si>
  <si>
    <t>MountingHole_3.2mm_M3</t>
  </si>
  <si>
    <t xml:space="preserve">(PCB only)</t>
  </si>
  <si>
    <t>MountingHole:MountingHole_3.2mm_M3</t>
  </si>
  <si>
    <t xml:space="preserve">Chỉ có trên PCB</t>
  </si>
  <si>
    <t xml:space="preserve">Lỗ cơ khí 3,2 mm cho vít M3; không cần mua footprint. Board-only / exclude_from_bom.</t>
  </si>
  <si>
    <t>H2</t>
  </si>
  <si>
    <t>H3</t>
  </si>
  <si>
    <t>H4</t>
  </si>
  <si>
    <t>J1</t>
  </si>
  <si>
    <t>NRF_LEFT</t>
  </si>
  <si>
    <t>Connector:Conn_01x13_Socket</t>
  </si>
  <si>
    <t>B.Cu</t>
  </si>
  <si>
    <t xml:space="preserve">Socket được đặt ở mặt B.Cu; kiểm tra hướng lắp.</t>
  </si>
  <si>
    <t>J2</t>
  </si>
  <si>
    <t>NRF_RIGHT</t>
  </si>
  <si>
    <t>R1</t>
  </si>
  <si>
    <t>10k</t>
  </si>
  <si>
    <t>Device:R</t>
  </si>
  <si>
    <t>R2</t>
  </si>
  <si>
    <t>R3</t>
  </si>
  <si>
    <t>R4</t>
  </si>
  <si>
    <t>R5</t>
  </si>
  <si>
    <t>R6</t>
  </si>
  <si>
    <t>330</t>
  </si>
  <si>
    <t>R7</t>
  </si>
  <si>
    <t>R8</t>
  </si>
  <si>
    <t>SW1</t>
  </si>
  <si>
    <t>ANSWER_A</t>
  </si>
  <si>
    <t>Switch:SW_Push</t>
  </si>
  <si>
    <t>SW2</t>
  </si>
  <si>
    <t>ANSWER_B</t>
  </si>
  <si>
    <t>SW3</t>
  </si>
  <si>
    <t>ANSWER_C</t>
  </si>
  <si>
    <t>SW4</t>
  </si>
  <si>
    <t>ANSWER_D</t>
  </si>
  <si>
    <t>SW5</t>
  </si>
  <si>
    <t>SUBMIT</t>
  </si>
  <si>
    <t>POWER</t>
  </si>
  <si>
    <t>Switch:SW_SPST</t>
  </si>
  <si>
    <t xml:space="preserve">Công tắc footprint tùy biến; đo kích thước thật.</t>
  </si>
  <si>
    <t>SW7</t>
  </si>
  <si>
    <t>RESET</t>
  </si>
  <si>
    <t xml:space="preserve">CHECKLIST TRƯỚC KHI ĐẶT MUA</t>
  </si>
  <si>
    <t xml:space="preserve">Những rủi ro có thể ảnh hưởng đến việc mua đúng hàng và lắp ráp được PCB.</t>
  </si>
  <si>
    <t xml:space="preserve">Hạng mục</t>
  </si>
  <si>
    <t xml:space="preserve">Thông tin phát hiện</t>
  </si>
  <si>
    <t xml:space="preserve">Việc phải kiểm tra / thao tác</t>
  </si>
  <si>
    <t xml:space="preserve">Mức độ</t>
  </si>
  <si>
    <t>Nguồn</t>
  </si>
  <si>
    <t xml:space="preserve">NGUỒN / PIN</t>
  </si>
  <si>
    <t xml:space="preserve">BT1 đang dùng Battery:Battery_Panasonic_CR2032-HFN_Horizontal_CircularHoles.</t>
  </si>
  <si>
    <t xml:space="preserve">Phải dùng pin CR2032 có tab chân hàn dạng HFN đúng bước chân/không gian; nếu thay bằng đế pin CR2032 thông thường cần sửa footprint và layout.</t>
  </si>
  <si>
    <t xml:space="preserve">Rất quan trọng</t>
  </si>
  <si>
    <t>https://gitlab.com/kicad/libraries/kicad-footprints/-/blob/master/Battery.pretty/Battery_Panasonic_CR2032-HFN_Horizontal_CircularHoles.kicad_mod</t>
  </si>
  <si>
    <t xml:space="preserve">AN TOÀN PIN</t>
  </si>
  <si>
    <t xml:space="preserve">CR2032 là pin lithium sơ cấp danh định 3 V, không thể sạc.</t>
  </si>
  <si>
    <t xml:space="preserve">Kiểm tra đường mạch module và chân cấp nguồn thực tế; tuyệt đối không nối đường sạc vào pin CR2032.</t>
  </si>
  <si>
    <t>https://energy.panasonic.com/dam/master/pdf/en/datasheet/lithium/CR2032_Datasheet_EN_240701.pdf</t>
  </si>
  <si>
    <t xml:space="preserve">MÓC NỐI / MODULE</t>
  </si>
  <si>
    <t xml:space="preserve">J1 và J2 là hai socket 13 chân 2.54 mm, đặt trên B.Cu.</t>
  </si>
  <si>
    <t xml:space="preserve">Đối chiếu sơ đồ chân, chiều rộng 2 hàng và mặt lắp nRF52840 SuperMini; chân đực module phải tương thích socket cái mặt dưới.</t>
  </si>
  <si>
    <t>https://kicad.github.io/footprints/Connector_PinSocket_2.54mm.html</t>
  </si>
  <si>
    <t xml:space="preserve">CÔNG TẮC</t>
  </si>
  <si>
    <t xml:space="preserve">SW6 có footprint tùy biến SW_SS12D10_SPDT:SS12D10_SPDT_v1.</t>
  </si>
  <si>
    <t xml:space="preserve">Theo file .kicad_mod: 3 tâm chân ở x = -4,7; 0; +4,7 mm, 1mm drill. Không mua switch chỉ dựa tên SS12D10.</t>
  </si>
  <si>
    <t xml:space="preserve">Nguồn nội bộ: SW_SS12D10_SPDT.pretty/SS12D10_SPDT_v1.kicad_mod</t>
  </si>
  <si>
    <t xml:space="preserve">TỤ PHÂN CỰC</t>
  </si>
  <si>
    <t xml:space="preserve">C1-C7 đều dùng symbol Device:C_Polarized.</t>
  </si>
  <si>
    <t xml:space="preserve">C1-C2: 10 µF, D4mm P2mm; C3-C7: 1 µF, D5mm P2mm. Chưa có điện áp định mức, chiều cao hay MPN.</t>
  </si>
  <si>
    <t xml:space="preserve">Cần kiểm tra</t>
  </si>
  <si>
    <t xml:space="preserve">Nguồn nội bộ: .kicad_sch và .kicad_pcb</t>
  </si>
  <si>
    <t xml:space="preserve">TỤ CHỐNG DỘI</t>
  </si>
  <si>
    <t xml:space="preserve">C3-C7 dùng tụ phân cực tại các mạch nút nhấn theo giá trị 1 µF.</t>
  </si>
  <si>
    <t xml:space="preserve">Kiểm tra cực tính theo mức áp từng chân trong tất cả trạng thái, phù hợp thời gian debounce; tụ không phân cực có thể cần footprint khác.</t>
  </si>
  <si>
    <t xml:space="preserve">Nguồn nội bộ: .kicad_sch</t>
  </si>
  <si>
    <t xml:space="preserve">D1-D3 chỉ khai báo giá trị LED, không ghi màu hoặc mã.</t>
  </si>
  <si>
    <t xml:space="preserve">Chọn LED 5 mm cùng chân THT; xác nhận màu/độ sáng/Vf/If để kiểm tra điện trở 330 Ω.</t>
  </si>
  <si>
    <t xml:space="preserve">ĐIỆN TRỞ</t>
  </si>
  <si>
    <t xml:space="preserve">R1-R5: 10 kΩ; R6-R8: 330 Ω; footprint DIN0207 L6.3×D2.5 P7.62.</t>
  </si>
  <si>
    <t xml:space="preserve">Chọn linh kiện 1/4 W hoặc tương đương có kích thước thân/chân tương thích. Trị số chịu sai số chưa chỉ định.</t>
  </si>
  <si>
    <t xml:space="preserve">Nguồn nội bộ: .kicad_pcb</t>
  </si>
  <si>
    <t xml:space="preserve">NÚT NHẤN</t>
  </si>
  <si>
    <t xml:space="preserve">SW1-SW5 và SW7 có footprint SW_PUSH_6mm_H4.3mm.</t>
  </si>
  <si>
    <t xml:space="preserve">Mua nút nhấn THT 6×6 mm đúng vị trí 4 chân; kiểm tra chiều cao lộ ra khỏi vỏ.</t>
  </si>
  <si>
    <t xml:space="preserve">LỖ CƠ KHÍ</t>
  </si>
  <si>
    <t xml:space="preserve">H1-H4 là lỗ M3, pad 3,2 mm, thuộc tính board_only và exclude_from_bom.</t>
  </si>
  <si>
    <t xml:space="preserve">Không mua một linh kiện tên H1. Mua ốc M3 và spacer chỉ khi cấu trúc vỏ yêu cầu; kiểm tra vùng trống quanh đầu vít.</t>
  </si>
  <si>
    <t xml:space="preserve">Thông tin</t>
  </si>
  <si>
    <t xml:space="preserve">BOM &amp; DỮ LIỆU</t>
  </si>
  <si>
    <t xml:space="preserve">Không có MPN/SKU, supplier, unit price và datasheet linh kiện cụ thể trong Schematic.</t>
  </si>
  <si>
    <t xml:space="preserve">Vì thế file này để trống các trường mua hàng để tránh giả định sai. Sau khi chọn mẫu thật, lưu datasheet/link vào Excel.</t>
  </si>
  <si>
    <t xml:space="preserve">Cần bổ sung</t>
  </si>
  <si>
    <t xml:space="preserve">DRC / ERC</t>
  </si>
  <si>
    <t xml:space="preserve">BOM không chứng minh PCB đúng điện hoặc phù hợp để chế tạo.</t>
  </si>
  <si>
    <t xml:space="preserve">Kiểm tra ERC, DRC, polarity, 3D cơ khí, output Gerber/drill; BOM chỉ xác minh số lượng và footprint.</t>
  </si>
  <si>
    <t xml:space="preserve">Nguồn nội bộ: .kicad_pcb/.kicad_sch</t>
  </si>
  <si>
    <t xml:space="preserve">NGUỒN &amp; PHƯƠNG PHÁP TRÍCH XUẤT</t>
  </si>
  <si>
    <t xml:space="preserve">Giá trị / mô tả</t>
  </si>
  <si>
    <t xml:space="preserve">Tên dự án</t>
  </si>
  <si>
    <t>NRF52840_Quiz_Remote</t>
  </si>
  <si>
    <t xml:space="preserve">Nguồn schematic</t>
  </si>
  <si>
    <t>NRF52840_Quiz_Remote/NRF52840_Quiz_Remote.kicad_sch</t>
  </si>
  <si>
    <t xml:space="preserve">Nguồn PCB</t>
  </si>
  <si>
    <t>NRF52840_Quiz_Remote/NRF52840_Quiz_Remote.kicad_pcb</t>
  </si>
  <si>
    <t xml:space="preserve">SHA256 schematic</t>
  </si>
  <si>
    <t>02c77d5245ab06772fbb29b13a0cc0347ea4944395376ec3a9d2d5b3516fb469</t>
  </si>
  <si>
    <t xml:space="preserve">SHA256 PCB</t>
  </si>
  <si>
    <t>bcae5cba2324009f77dd3607b17fb2695f55706239005fb1716ed6d1a14543d0</t>
  </si>
  <si>
    <t xml:space="preserve">KiCad PCB version</t>
  </si>
  <si>
    <t xml:space="preserve">10.0 (ghi trong file PCB)</t>
  </si>
  <si>
    <t xml:space="preserve">BOM PCB</t>
  </si>
  <si>
    <t xml:space="preserve">Nhóm theo loại, trị số và footprint; 28 linh kiện, 9 dòng nhóm</t>
  </si>
  <si>
    <t xml:space="preserve">Lỗ M3</t>
  </si>
  <si>
    <t xml:space="preserve">H1-H4: board only, excluded from standard BOM; nằm tại sheet CHI_TIET_PCB</t>
  </si>
  <si>
    <t xml:space="preserve">Giá, MPN, NCC</t>
  </si>
  <si>
    <t xml:space="preserve">Không có trong KiCad; được để trống để cập nhật theo báo giá thực tế</t>
  </si>
  <si>
    <t xml:space="preserve">Module nRF52840</t>
  </si>
  <si>
    <t xml:space="preserve">Không có một footprint U1 rời trong PCB; được ghi thêm mục vật tư để có đủ vật liệu làm sản phẩm</t>
  </si>
  <si>
    <t xml:space="preserve">THAM KHẢO</t>
  </si>
  <si>
    <t xml:space="preserve">KiCad: footprint CR2032-HFN</t>
  </si>
  <si>
    <t xml:space="preserve">Panasonic: CR2032 datasheet</t>
  </si>
  <si>
    <t xml:space="preserve">KiCad: footprint socket 2.54mm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</si>
</sst>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 &quot;₫&quot;;[Red](#,##0) &quot;₫&quot;;–"/>
  </numFmts>
  <fonts count="26">
    <font>
      <sz val="11.000000"/>
      <color theme="1"/>
      <name val="Calibri"/>
      <scheme val="minor"/>
    </font>
    <font>
      <sz val="11.000000"/>
      <color theme="1"/>
      <name val="Times New Roman"/>
    </font>
    <font>
      <b/>
      <sz val="14.000000"/>
      <color theme="0" tint="0"/>
      <name val="Times New Roman"/>
    </font>
    <font>
      <sz val="14.000000"/>
      <name val="Times New Roman"/>
    </font>
    <font>
      <b/>
      <sz val="14.000000"/>
      <name val="Times New Roman"/>
    </font>
    <font>
      <sz val="14.000000"/>
      <color theme="1"/>
      <name val="Times New Roman"/>
    </font>
    <font>
      <b/>
      <sz val="14.000000"/>
      <color indexed="65"/>
      <name val="Times New Roman"/>
    </font>
    <font>
      <b/>
      <sz val="22.000000"/>
      <color indexed="65"/>
      <name val="Times New Roman"/>
    </font>
    <font>
      <sz val="22.000000"/>
      <color theme="1"/>
      <name val="Times New Roman"/>
    </font>
    <font>
      <i/>
      <sz val="14.000000"/>
      <name val="Times New Roman"/>
    </font>
    <font>
      <sz val="14.000000"/>
      <color theme="1" tint="0"/>
      <name val="Times New Roman"/>
    </font>
    <font>
      <sz val="18.000000"/>
      <color theme="0" tint="0"/>
      <name val="Times New Roman"/>
    </font>
    <font>
      <b/>
      <sz val="18.000000"/>
      <color theme="0" tint="0"/>
      <name val="Times New Roman"/>
    </font>
    <font>
      <b/>
      <sz val="20.000000"/>
      <color indexed="65"/>
      <name val="Times New Roman"/>
    </font>
    <font>
      <i/>
      <sz val="14.000000"/>
      <color theme="1" tint="0"/>
      <name val="Times New Roman"/>
    </font>
    <font>
      <sz val="14.000000"/>
      <color theme="0" tint="0"/>
      <name val="Times New Roman"/>
    </font>
    <font>
      <sz val="11.000000"/>
      <color theme="0" tint="0"/>
      <name val="Times New Roman"/>
    </font>
    <font>
      <b/>
      <sz val="20.000000"/>
      <color theme="0" tint="0"/>
      <name val="Times New Roman"/>
    </font>
    <font>
      <i/>
      <sz val="16.000000"/>
      <name val="Times New Roman"/>
    </font>
    <font>
      <sz val="16.000000"/>
      <name val="Times New Roman"/>
    </font>
    <font>
      <u/>
      <sz val="14.000000"/>
      <name val="Times New Roman"/>
    </font>
    <font>
      <b/>
      <sz val="24.000000"/>
      <color theme="0" tint="0"/>
      <name val="Times New Roman"/>
    </font>
    <font>
      <sz val="24.000000"/>
      <color theme="0" tint="0"/>
      <name val="Times New Roman"/>
    </font>
    <font>
      <b/>
      <sz val="14.000000"/>
      <color rgb="FF164E63"/>
      <name val="Times New Roman"/>
    </font>
    <font>
      <sz val="14.000000"/>
      <color rgb="FF17814C"/>
      <name val="Times New Roman"/>
    </font>
    <font>
      <u/>
      <sz val="14.000000"/>
      <color rgb="FF1255AD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  <fill>
      <patternFill patternType="solid">
        <fgColor theme="0" tint="0"/>
        <bgColor theme="0" tint="0"/>
      </patternFill>
    </fill>
    <fill>
      <patternFill patternType="solid">
        <fgColor rgb="FFFFF1D6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9">
    <xf fontId="0" fillId="0" borderId="0" numFmtId="0" xfId="0" quotePrefix="0" pivotButton="0"/>
    <xf fontId="1" fillId="0" borderId="0" numFmtId="0" xfId="0" applyFont="1" applyAlignment="1" quotePrefix="0" pivotButton="0">
      <alignment vertical="center"/>
    </xf>
    <xf fontId="1" fillId="2" borderId="0" numFmtId="0" xfId="0" applyFont="1" applyFill="1" applyAlignment="1" quotePrefix="0" pivotButton="0">
      <alignment vertical="center"/>
    </xf>
    <xf fontId="2" fillId="2" borderId="1" numFmtId="0" xfId="0" applyFont="1" applyFill="1" applyBorder="1" applyAlignment="1" quotePrefix="0" pivotButton="0">
      <alignment horizontal="center" vertical="center"/>
    </xf>
    <xf fontId="2" fillId="2" borderId="1" numFmtId="9" xfId="0" applyNumberFormat="1" applyFont="1" applyFill="1" applyBorder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vertical="center"/>
    </xf>
    <xf fontId="4" fillId="0" borderId="1" numFmtId="0" xfId="0" applyFont="1" applyBorder="1" applyAlignment="1" quotePrefix="0" pivotButton="0">
      <alignment horizontal="center" vertical="center"/>
    </xf>
    <xf fontId="5" fillId="0" borderId="1" numFmtId="0" xfId="0" applyFont="1" applyBorder="1" applyAlignment="1" quotePrefix="0" pivotButton="0">
      <alignment vertical="center"/>
    </xf>
    <xf fontId="6" fillId="2" borderId="1" numFmtId="0" xfId="0" applyFont="1" applyFill="1" applyBorder="1" applyAlignment="1" quotePrefix="0" pivotButton="0">
      <alignment horizontal="center" vertical="center"/>
    </xf>
    <xf fontId="4" fillId="0" borderId="1" numFmtId="164" xfId="0" applyNumberFormat="1" applyFont="1" applyBorder="1" applyAlignment="1" quotePrefix="0" pivotButton="0">
      <alignment horizontal="center" vertical="center"/>
    </xf>
    <xf fontId="6" fillId="2" borderId="2" numFmtId="0" xfId="0" applyFont="1" applyFill="1" applyBorder="1" applyAlignment="1" quotePrefix="0" pivotButton="0">
      <alignment horizontal="center" vertical="center"/>
    </xf>
    <xf fontId="5" fillId="0" borderId="2" numFmtId="0" xfId="0" applyFont="1" applyBorder="1" applyAlignment="1" quotePrefix="0" pivotButton="0">
      <alignment vertical="center"/>
    </xf>
    <xf fontId="4" fillId="0" borderId="2" numFmtId="164" xfId="0" applyNumberFormat="1" applyFont="1" applyBorder="1" applyAlignment="1" quotePrefix="0" pivotButton="0">
      <alignment horizontal="center" vertical="center"/>
    </xf>
    <xf fontId="5" fillId="0" borderId="3" numFmtId="0" xfId="0" applyFont="1" applyBorder="1" applyAlignment="1" quotePrefix="0" pivotButton="0">
      <alignment vertical="center"/>
    </xf>
    <xf fontId="3" fillId="0" borderId="4" numFmtId="0" xfId="0" applyFont="1" applyBorder="1" applyAlignment="1" quotePrefix="0" pivotButton="0">
      <alignment vertical="center"/>
    </xf>
    <xf fontId="0" fillId="2" borderId="0" numFmtId="0" xfId="0" applyFill="1" quotePrefix="0" pivotButton="0"/>
    <xf fontId="7" fillId="2" borderId="0" numFmtId="0" xfId="0" applyFont="1" applyFill="1" applyAlignment="1" quotePrefix="0" pivotButton="0">
      <alignment horizontal="center" vertical="center"/>
    </xf>
    <xf fontId="8" fillId="2" borderId="0" numFmtId="0" xfId="0" applyFont="1" applyFill="1" applyAlignment="1" quotePrefix="0" pivotButton="0">
      <alignment horizontal="center"/>
    </xf>
    <xf fontId="9" fillId="0" borderId="0" numFmtId="0" xfId="0" applyFont="1" quotePrefix="0" pivotButton="0"/>
    <xf fontId="3" fillId="0" borderId="0" numFmtId="0" xfId="0" applyFont="1" quotePrefix="0" pivotButton="0"/>
    <xf fontId="5" fillId="2" borderId="0" numFmtId="0" xfId="0" applyFont="1" applyFill="1" quotePrefix="0" pivotButton="0"/>
    <xf fontId="6" fillId="2" borderId="0" numFmtId="0" xfId="0" applyFont="1" applyFill="1" applyAlignment="1" quotePrefix="0" pivotButton="0">
      <alignment horizontal="center" vertical="center" wrapText="1"/>
    </xf>
    <xf fontId="10" fillId="3" borderId="0" numFmtId="0" xfId="0" applyFont="1" applyFill="1" quotePrefix="0" pivotButton="0"/>
    <xf fontId="10" fillId="3" borderId="0" numFmtId="0" xfId="0" applyFont="1" applyFill="1" applyAlignment="1" quotePrefix="0" pivotButton="0">
      <alignment horizontal="center" vertical="center"/>
    </xf>
    <xf fontId="10" fillId="3" borderId="0" numFmtId="0" xfId="0" applyFont="1" applyFill="1" applyAlignment="1" quotePrefix="0" pivotButton="0">
      <alignment horizontal="center" vertical="center" wrapText="1"/>
    </xf>
    <xf fontId="10" fillId="3" borderId="0" numFmtId="9" xfId="0" applyNumberFormat="1" applyFont="1" applyFill="1" applyAlignment="1" quotePrefix="0" pivotButton="0">
      <alignment horizontal="center" vertical="center"/>
    </xf>
    <xf fontId="10" fillId="3" borderId="0" numFmtId="164" xfId="0" applyNumberFormat="1" applyFont="1" applyFill="1" applyAlignment="1" quotePrefix="0" pivotButton="0">
      <alignment horizontal="center" vertical="center"/>
    </xf>
    <xf fontId="10" fillId="3" borderId="0" numFmtId="0" xfId="0" applyFont="1" applyFill="1" applyAlignment="1" quotePrefix="0" pivotButton="0">
      <alignment horizontal="justify" vertical="center" wrapText="1"/>
    </xf>
    <xf fontId="5" fillId="3" borderId="0" numFmtId="0" xfId="0" applyFont="1" applyFill="1" quotePrefix="0" pivotButton="0"/>
    <xf fontId="11" fillId="2" borderId="0" numFmtId="0" xfId="0" applyFont="1" applyFill="1" quotePrefix="0" pivotButton="0"/>
    <xf fontId="12" fillId="2" borderId="0" numFmtId="0" xfId="0" applyFont="1" applyFill="1" applyAlignment="1" quotePrefix="0" pivotButton="0">
      <alignment horizontal="center" vertical="center"/>
    </xf>
    <xf fontId="12" fillId="2" borderId="0" numFmtId="164" xfId="0" applyNumberFormat="1" applyFont="1" applyFill="1" quotePrefix="0" pivotButton="0"/>
    <xf fontId="1" fillId="0" borderId="0" numFmtId="0" xfId="0" applyFont="1" quotePrefix="0" pivotButton="0"/>
    <xf fontId="1" fillId="2" borderId="0" numFmtId="0" xfId="0" applyFont="1" applyFill="1" quotePrefix="0" pivotButton="0"/>
    <xf fontId="13" fillId="2" borderId="0" numFmtId="0" xfId="0" applyFont="1" applyFill="1" applyAlignment="1" quotePrefix="0" pivotButton="0">
      <alignment indent="1" vertical="center"/>
    </xf>
    <xf fontId="14" fillId="0" borderId="0" numFmtId="0" xfId="0" applyFont="1" applyAlignment="1" quotePrefix="0" pivotButton="0">
      <alignment vertical="center"/>
    </xf>
    <xf fontId="10" fillId="0" borderId="0" numFmtId="0" xfId="0" applyFont="1" applyAlignment="1" quotePrefix="0" pivotButton="0">
      <alignment vertical="center"/>
    </xf>
    <xf fontId="5" fillId="0" borderId="0" numFmtId="0" xfId="0" applyFont="1" quotePrefix="0" pivotButton="0"/>
    <xf fontId="15" fillId="2" borderId="0" numFmtId="0" xfId="0" applyFont="1" applyFill="1" quotePrefix="0" pivotButton="0"/>
    <xf fontId="2" fillId="2" borderId="0" numFmtId="0" xfId="0" applyFont="1" applyFill="1" applyAlignment="1" quotePrefix="0" pivotButton="0">
      <alignment horizontal="center" vertical="center"/>
    </xf>
    <xf fontId="2" fillId="2" borderId="0" numFmtId="164" xfId="0" applyNumberFormat="1" applyFont="1" applyFill="1" quotePrefix="0" pivotButton="0"/>
    <xf fontId="1" fillId="0" borderId="0" numFmtId="0" xfId="0" applyFont="1" applyAlignment="1" quotePrefix="0" pivotButton="0">
      <alignment horizontal="center"/>
    </xf>
    <xf fontId="9" fillId="0" borderId="0" numFmtId="0" xfId="0" applyFont="1" applyAlignment="1" quotePrefix="0" pivotButton="0">
      <alignment horizontal="center"/>
    </xf>
    <xf fontId="3" fillId="0" borderId="0" numFmtId="0" xfId="0" applyFont="1" applyAlignment="1" quotePrefix="0" pivotButton="0">
      <alignment horizontal="center"/>
    </xf>
    <xf fontId="2" fillId="2" borderId="0" numFmtId="0" xfId="0" applyFont="1" applyFill="1" applyAlignment="1" quotePrefix="0" pivotButton="0">
      <alignment vertical="center" wrapText="1"/>
    </xf>
    <xf fontId="2" fillId="2" borderId="0" numFmtId="0" xfId="0" applyFont="1" applyFill="1" applyAlignment="1" quotePrefix="0" pivotButton="0">
      <alignment horizontal="center" vertical="center" wrapText="1"/>
    </xf>
    <xf fontId="10" fillId="3" borderId="0" numFmtId="0" xfId="0" applyFont="1" applyFill="1" applyAlignment="1" quotePrefix="0" pivotButton="0">
      <alignment vertical="center"/>
    </xf>
    <xf fontId="10" fillId="3" borderId="0" numFmtId="0" xfId="0" applyFont="1" applyFill="1" applyAlignment="1" quotePrefix="0" pivotButton="0">
      <alignment vertical="center" wrapText="1"/>
    </xf>
    <xf fontId="10" fillId="0" borderId="0" numFmtId="0" xfId="0" applyFont="1" quotePrefix="0" pivotButton="0"/>
    <xf fontId="10" fillId="4" borderId="0" numFmtId="0" xfId="0" applyFont="1" applyFill="1" applyAlignment="1" quotePrefix="0" pivotButton="0">
      <alignment vertical="center"/>
    </xf>
    <xf fontId="10" fillId="4" borderId="0" numFmtId="0" xfId="0" applyFont="1" applyFill="1" applyAlignment="1" quotePrefix="0" pivotButton="0">
      <alignment vertical="center" wrapText="1"/>
    </xf>
    <xf fontId="10" fillId="4" borderId="0" numFmtId="0" xfId="0" applyFont="1" applyFill="1" applyAlignment="1" quotePrefix="0" pivotButton="0">
      <alignment horizontal="center" vertical="center" wrapText="1"/>
    </xf>
    <xf fontId="16" fillId="2" borderId="0" numFmtId="0" xfId="0" applyFont="1" applyFill="1" quotePrefix="0" pivotButton="0"/>
    <xf fontId="17" fillId="2" borderId="0" numFmtId="0" xfId="0" applyFont="1" applyFill="1" applyAlignment="1" quotePrefix="0" pivotButton="0">
      <alignment horizontal="center" vertical="center"/>
    </xf>
    <xf fontId="16" fillId="2" borderId="0" numFmtId="0" xfId="0" applyFont="1" applyFill="1" applyAlignment="1" quotePrefix="0" pivotButton="0">
      <alignment horizontal="center"/>
    </xf>
    <xf fontId="18" fillId="0" borderId="0" numFmtId="0" xfId="0" applyFont="1" applyAlignment="1" quotePrefix="0" pivotButton="0">
      <alignment horizontal="center"/>
    </xf>
    <xf fontId="19" fillId="0" borderId="0" numFmtId="0" xfId="0" applyFont="1" applyAlignment="1" quotePrefix="0" pivotButton="0">
      <alignment horizontal="center"/>
    </xf>
    <xf fontId="3" fillId="3" borderId="0" numFmtId="0" xfId="0" applyFont="1" applyFill="1" quotePrefix="0" pivotButton="0"/>
    <xf fontId="3" fillId="3" borderId="0" numFmtId="0" xfId="0" applyFont="1" applyFill="1" applyAlignment="1" quotePrefix="0" pivotButton="0">
      <alignment vertical="center"/>
    </xf>
    <xf fontId="3" fillId="3" borderId="0" numFmtId="0" xfId="0" applyFont="1" applyFill="1" applyAlignment="1" quotePrefix="0" pivotButton="0">
      <alignment vertical="center" wrapText="1"/>
    </xf>
    <xf fontId="20" fillId="3" borderId="0" numFmtId="0" xfId="0" applyFont="1" applyFill="1" applyAlignment="1" quotePrefix="0" pivotButton="0">
      <alignment vertical="center" wrapText="1"/>
    </xf>
    <xf fontId="21" fillId="2" borderId="0" numFmtId="0" xfId="0" applyFont="1" applyFill="1" applyAlignment="1" quotePrefix="0" pivotButton="0">
      <alignment horizontal="center" vertical="center"/>
    </xf>
    <xf fontId="22" fillId="2" borderId="0" numFmtId="0" xfId="0" applyFont="1" applyFill="1" applyAlignment="1" quotePrefix="0" pivotButton="0">
      <alignment horizontal="center"/>
    </xf>
    <xf fontId="23" fillId="0" borderId="0" numFmtId="0" xfId="0" applyFont="1" applyAlignment="1" quotePrefix="0" pivotButton="0">
      <alignment horizontal="left" vertical="center"/>
    </xf>
    <xf fontId="24" fillId="0" borderId="0" numFmtId="0" xfId="0" applyFont="1" applyAlignment="1" quotePrefix="0" pivotButton="0">
      <alignment horizontal="left" vertical="center" wrapText="1"/>
    </xf>
    <xf fontId="4" fillId="0" borderId="0" numFmtId="0" xfId="0" applyFont="1" applyAlignment="1" quotePrefix="0" pivotButton="0">
      <alignment horizontal="left" vertical="center"/>
    </xf>
    <xf fontId="3" fillId="0" borderId="0" numFmtId="0" xfId="0" applyFont="1" applyAlignment="1" quotePrefix="0" pivotButton="0">
      <alignment horizontal="left" vertical="center" wrapText="1"/>
    </xf>
    <xf fontId="4" fillId="0" borderId="0" numFmtId="0" xfId="0" applyFont="1" quotePrefix="0" pivotButton="0"/>
    <xf fontId="25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s://gitlab.com/kicad/libraries/kicad-footprints/-/blob/master/Battery.pretty/Battery_Panasonic_CR2032-HFN_Horizontal_CircularHoles.kicad_mod" TargetMode="External"/><Relationship  Id="rId2" Type="http://schemas.openxmlformats.org/officeDocument/2006/relationships/hyperlink" Target="https://energy.panasonic.com/dam/master/pdf/en/datasheet/lithium/CR2032_Datasheet_EN_240701.pdf" TargetMode="External"/><Relationship  Id="rId3" Type="http://schemas.openxmlformats.org/officeDocument/2006/relationships/hyperlink" Target="https://kicad.github.io/footprints/Connector_PinSocket_2.54mm.html" TargetMode="Externa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hyperlink" Target="https://gitlab.com/kicad/libraries/kicad-footprints/-/blob/master/Battery.pretty/Battery_Panasonic_CR2032-HFN_Horizontal_CircularHoles.kicad_mod" TargetMode="External"/><Relationship  Id="rId2" Type="http://schemas.openxmlformats.org/officeDocument/2006/relationships/hyperlink" Target="https://energy.panasonic.com/dam/master/pdf/en/datasheet/lithium/CR2032_Datasheet_EN_240701.pdf" TargetMode="External"/><Relationship  Id="rId3" Type="http://schemas.openxmlformats.org/officeDocument/2006/relationships/hyperlink" Target="https://kicad.github.io/footprints/Connector_PinSocket_2.54m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85" workbookViewId="0">
      <selection activeCell="A1" activeCellId="0" sqref="A1"/>
    </sheetView>
  </sheetViews>
  <sheetFormatPr baseColWidth="8" defaultRowHeight="14.25"/>
  <cols>
    <col customWidth="1" min="1" max="1" style="1" width="60.00390625"/>
    <col customWidth="1" min="2" max="2" style="1" width="13"/>
    <col customWidth="1" min="3" max="3" style="1" width="29"/>
    <col customWidth="1" min="4" max="4" style="1" width="19"/>
    <col min="5" max="16384" style="1" width="9.140625"/>
  </cols>
  <sheetData>
    <row r="1" s="2" customFormat="1" ht="27" customHeight="1">
      <c r="A1" s="3" t="s">
        <v>0</v>
      </c>
      <c r="B1" s="3">
        <v>1</v>
      </c>
      <c r="C1" s="3" t="s">
        <v>1</v>
      </c>
      <c r="D1" s="4">
        <v>0</v>
      </c>
      <c r="E1" s="2"/>
    </row>
    <row r="2" ht="19.5" customHeight="1">
      <c r="A2" s="5" t="s">
        <v>2</v>
      </c>
      <c r="B2" s="5"/>
      <c r="C2" s="6">
        <f>COUNTA('Chi tiết PCB'!A7:A38)</f>
        <v>32</v>
      </c>
      <c r="D2" s="7"/>
      <c r="E2" s="1"/>
    </row>
    <row r="3" ht="25" customHeight="1">
      <c r="A3" s="5" t="s">
        <v>3</v>
      </c>
      <c r="B3" s="5"/>
      <c r="C3" s="6">
        <f>SUM('BOM PCB'!G7:G15)</f>
        <v>28</v>
      </c>
      <c r="D3" s="7"/>
    </row>
    <row r="4" ht="23" customHeight="1">
      <c r="A4" s="5" t="s">
        <v>4</v>
      </c>
      <c r="B4" s="5"/>
      <c r="C4" s="6">
        <f>COUNTA('BOM PCB'!B7:B15)</f>
        <v>9</v>
      </c>
      <c r="D4" s="7"/>
    </row>
    <row r="5" ht="17.25">
      <c r="A5" s="5" t="s">
        <v>5</v>
      </c>
      <c r="B5" s="5"/>
      <c r="C5" s="6">
        <f>COUNTIF('Chi tiết PCB'!I7:I38,"Không")</f>
        <v>4</v>
      </c>
      <c r="D5" s="7"/>
      <c r="E5" s="1"/>
    </row>
    <row r="6" ht="20.5" customHeight="1">
      <c r="A6" s="5" t="s">
        <v>6</v>
      </c>
      <c r="B6" s="5"/>
      <c r="C6" s="6">
        <f>COUNTBLANK('BOM PCB'!L7:L15)</f>
        <v>9</v>
      </c>
      <c r="D6" s="7"/>
      <c r="E6" s="1"/>
    </row>
    <row r="7" ht="24" customHeight="1">
      <c r="A7" s="5" t="s">
        <v>7</v>
      </c>
      <c r="B7" s="5"/>
      <c r="C7" s="6">
        <f>COUNTIFS('Vật tư thêm'!G7:G13,"Có",'Vật tư thêm'!I7:I13,"")</f>
        <v>1</v>
      </c>
      <c r="D7" s="7"/>
      <c r="E7" s="1"/>
    </row>
    <row r="8" ht="27.5" customHeight="1">
      <c r="A8" s="8" t="s">
        <v>8</v>
      </c>
      <c r="B8" s="7"/>
      <c r="C8" s="9" t="str">
        <f>IF(COUNTBLANK('BOM PCB'!L7:L15)&gt;0,"CHƯA ĐỦ GIÁ",SUM('BOM PCB'!M7:M15))</f>
        <v xml:space="preserve">CHƯA ĐỦ GIÁ</v>
      </c>
      <c r="D8" s="7"/>
      <c r="E8" s="1"/>
    </row>
    <row r="9" ht="33" customHeight="1">
      <c r="A9" s="10" t="s">
        <v>9</v>
      </c>
      <c r="B9" s="11"/>
      <c r="C9" s="12" t="str">
        <f>IF(OR(COUNTBLANK('BOM PCB'!L7:L15)&gt;0,COUNTIFS('Vật tư thêm'!G7:G13,"Có",'Vật tư thêm'!I7:I13,"")&gt;0),"CHƯA ĐỦ GIÁ",SUM('BOM PCB'!M7:M15,'Vật tư thêm'!J7:J13))</f>
        <v xml:space="preserve">CHƯA ĐỦ GIÁ</v>
      </c>
      <c r="D9" s="11"/>
      <c r="E9" s="1"/>
    </row>
    <row r="10" ht="17.25">
      <c r="A10" s="13" t="s">
        <v>10</v>
      </c>
      <c r="B10" s="13"/>
      <c r="C10" s="13"/>
      <c r="D10" s="13"/>
      <c r="E10" s="1"/>
    </row>
    <row r="11" ht="27.5" customHeight="1">
      <c r="A11" s="14" t="s">
        <v>11</v>
      </c>
      <c r="B11" s="14"/>
      <c r="C11" s="14"/>
      <c r="D11" s="14"/>
      <c r="E11" s="1"/>
    </row>
    <row r="12" ht="29.5" customHeight="1">
      <c r="A12" s="5" t="s">
        <v>12</v>
      </c>
      <c r="B12" s="5"/>
      <c r="C12" s="5"/>
      <c r="D12" s="5"/>
      <c r="E12" s="1"/>
    </row>
    <row r="13" ht="24" customHeight="1">
      <c r="A13" s="5" t="s">
        <v>13</v>
      </c>
      <c r="B13" s="5"/>
      <c r="C13" s="5"/>
      <c r="D13" s="5"/>
      <c r="E13" s="1"/>
    </row>
    <row r="14" ht="33" customHeight="1">
      <c r="A14" s="5" t="s">
        <v>14</v>
      </c>
      <c r="B14" s="5"/>
      <c r="C14" s="5"/>
      <c r="D14" s="5"/>
      <c r="E14" s="1"/>
    </row>
    <row r="15" ht="28.5" customHeight="1">
      <c r="A15" s="5" t="s">
        <v>15</v>
      </c>
      <c r="B15" s="5"/>
      <c r="C15" s="5"/>
      <c r="D15" s="5"/>
      <c r="E15" s="1"/>
    </row>
    <row r="16" ht="27.5" customHeight="1">
      <c r="A16" s="5" t="s">
        <v>16</v>
      </c>
      <c r="B16" s="5"/>
      <c r="C16" s="5"/>
      <c r="D16" s="5"/>
      <c r="E16" s="1"/>
    </row>
    <row r="17" ht="14.25">
      <c r="E17" s="1"/>
    </row>
    <row r="18" ht="14.25">
      <c r="E18" s="1"/>
    </row>
  </sheetData>
  <mergeCells count="6">
    <mergeCell ref="A11:D11"/>
    <mergeCell ref="A12:D12"/>
    <mergeCell ref="A13:D13"/>
    <mergeCell ref="A14:D14"/>
    <mergeCell ref="A15:D15"/>
    <mergeCell ref="A16:D16"/>
  </mergeCells>
  <printOptions headings="0" gridLines="0" horizontalCentered="1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41D3AB79-75EB-4CFB-BEC2-719A825E13F5}" type="whole" allowBlank="0" errorStyle="stop" imeMode="noControl" operator="between" showDropDown="0" showErrorMessage="0" showInputMessage="0">
          <x14:formula1>
            <xm:f>1</xm:f>
          </x14:formula1>
          <x14:formula2>
            <xm:f>100000</xm:f>
          </x14:formula2>
          <xm:sqref>B1</xm:sqref>
        </x14:dataValidation>
        <x14:dataValidation xr:uid="{3E852A36-3FDA-4053-8581-F352538AF612}" type="decimal" allowBlank="0" errorStyle="stop" imeMode="noControl" operator="between" showDropDown="0" showErrorMessage="0" showInputMessage="0">
          <x14:formula1>
            <xm:f>0</xm:f>
          </x14:formula1>
          <x14:formula2>
            <xm:f>1</xm:f>
          </x14:formula2>
          <xm:sqref>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85" workbookViewId="0">
      <pane xSplit="4" ySplit="6" topLeftCell="E7" activePane="bottomRight" state="frozen"/>
      <selection activeCell="A1" activeCellId="0" sqref="A1"/>
    </sheetView>
  </sheetViews>
  <sheetFormatPr baseColWidth="8" defaultRowHeight="14.25"/>
  <cols>
    <col customWidth="1" min="1" max="1" width="6"/>
    <col customWidth="1" min="2" max="2" width="27"/>
    <col customWidth="1" min="3" max="3" width="29"/>
    <col customWidth="1" min="4" max="4" width="18"/>
    <col customWidth="1" min="5" max="5" width="68"/>
    <col customWidth="1" min="6" max="6" width="21"/>
    <col customWidth="1" min="7" max="8" width="10"/>
    <col customWidth="1" min="9" max="10" width="13"/>
    <col customWidth="1" min="11" max="11" width="9"/>
    <col customWidth="1" min="12" max="12" width="18"/>
    <col customWidth="1" min="13" max="13" width="21"/>
    <col customWidth="1" min="14" max="14" width="24"/>
    <col customWidth="1" min="15" max="15" width="20"/>
    <col customWidth="1" min="16" max="16" width="31"/>
    <col customWidth="1" min="17" max="17" width="20"/>
    <col customWidth="1" min="18" max="18" width="80"/>
  </cols>
  <sheetData>
    <row r="1" s="15" customFormat="1" ht="26" customHeight="1">
      <c r="A1" s="16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="15" customFormat="1" ht="18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8" customHeight="1">
      <c r="A3" s="18" t="s">
        <v>18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6" s="20" customFormat="1" ht="40" customHeight="1">
      <c r="A6" s="21" t="s">
        <v>19</v>
      </c>
      <c r="B6" s="21" t="s">
        <v>20</v>
      </c>
      <c r="C6" s="21" t="s">
        <v>21</v>
      </c>
      <c r="D6" s="21" t="s">
        <v>22</v>
      </c>
      <c r="E6" s="21" t="s">
        <v>23</v>
      </c>
      <c r="F6" s="21" t="s">
        <v>24</v>
      </c>
      <c r="G6" s="21" t="s">
        <v>25</v>
      </c>
      <c r="H6" s="21" t="s">
        <v>26</v>
      </c>
      <c r="I6" s="21" t="s">
        <v>27</v>
      </c>
      <c r="J6" s="21" t="s">
        <v>28</v>
      </c>
      <c r="K6" s="21" t="s">
        <v>29</v>
      </c>
      <c r="L6" s="21" t="s">
        <v>30</v>
      </c>
      <c r="M6" s="21" t="s">
        <v>31</v>
      </c>
      <c r="N6" s="21" t="s">
        <v>32</v>
      </c>
      <c r="O6" s="21" t="s">
        <v>33</v>
      </c>
      <c r="P6" s="21" t="s">
        <v>34</v>
      </c>
      <c r="Q6" s="21" t="s">
        <v>35</v>
      </c>
      <c r="R6" s="21" t="s">
        <v>36</v>
      </c>
    </row>
    <row r="7" s="22" customFormat="1" ht="64" customHeight="1">
      <c r="A7" s="23">
        <v>1</v>
      </c>
      <c r="B7" s="23" t="s">
        <v>37</v>
      </c>
      <c r="C7" s="23" t="s">
        <v>38</v>
      </c>
      <c r="D7" s="24" t="s">
        <v>39</v>
      </c>
      <c r="E7" s="24" t="s">
        <v>40</v>
      </c>
      <c r="F7" s="24" t="s">
        <v>41</v>
      </c>
      <c r="G7" s="23">
        <v>5</v>
      </c>
      <c r="H7" s="23">
        <f>'Tổng quan'!$B$1</f>
        <v>1</v>
      </c>
      <c r="I7" s="25">
        <f>'Tổng quan'!$D$1</f>
        <v>0</v>
      </c>
      <c r="J7" s="23">
        <f t="shared" ref="J7:J9" si="0">ROUNDUP(G7*H7*(1+I7),0)</f>
        <v>5</v>
      </c>
      <c r="K7" s="23" t="s">
        <v>42</v>
      </c>
      <c r="L7" s="26"/>
      <c r="M7" s="26" t="str">
        <f t="shared" ref="M7:M9" si="1">IF(L7="","",J7*L7)</f>
        <v/>
      </c>
      <c r="N7" s="24"/>
      <c r="O7" s="23"/>
      <c r="P7" s="23"/>
      <c r="Q7" s="24" t="s">
        <v>43</v>
      </c>
      <c r="R7" s="27" t="s">
        <v>44</v>
      </c>
    </row>
    <row r="8" s="22" customFormat="1" ht="64" customHeight="1">
      <c r="A8" s="23">
        <v>2</v>
      </c>
      <c r="B8" s="23" t="s">
        <v>45</v>
      </c>
      <c r="C8" s="23" t="s">
        <v>46</v>
      </c>
      <c r="D8" s="24" t="s">
        <v>47</v>
      </c>
      <c r="E8" s="24" t="s">
        <v>40</v>
      </c>
      <c r="F8" s="24" t="s">
        <v>41</v>
      </c>
      <c r="G8" s="23">
        <v>3</v>
      </c>
      <c r="H8" s="23">
        <f>'Tổng quan'!$B$1</f>
        <v>1</v>
      </c>
      <c r="I8" s="25">
        <f>'Tổng quan'!$D$1</f>
        <v>0</v>
      </c>
      <c r="J8" s="23">
        <f t="shared" si="0"/>
        <v>3</v>
      </c>
      <c r="K8" s="23" t="s">
        <v>42</v>
      </c>
      <c r="L8" s="26"/>
      <c r="M8" s="26" t="str">
        <f t="shared" si="1"/>
        <v/>
      </c>
      <c r="N8" s="24"/>
      <c r="O8" s="23"/>
      <c r="P8" s="23"/>
      <c r="Q8" s="24" t="s">
        <v>43</v>
      </c>
      <c r="R8" s="27" t="s">
        <v>48</v>
      </c>
    </row>
    <row r="9" s="22" customFormat="1" ht="64" customHeight="1">
      <c r="A9" s="23">
        <v>3</v>
      </c>
      <c r="B9" s="23" t="s">
        <v>49</v>
      </c>
      <c r="C9" s="23" t="s">
        <v>50</v>
      </c>
      <c r="D9" s="24" t="s">
        <v>51</v>
      </c>
      <c r="E9" s="24" t="s">
        <v>52</v>
      </c>
      <c r="F9" s="24" t="s">
        <v>41</v>
      </c>
      <c r="G9" s="23">
        <v>2</v>
      </c>
      <c r="H9" s="23">
        <f>'Tổng quan'!$B$1</f>
        <v>1</v>
      </c>
      <c r="I9" s="25">
        <f>'Tổng quan'!$D$1</f>
        <v>0</v>
      </c>
      <c r="J9" s="23">
        <f t="shared" si="0"/>
        <v>2</v>
      </c>
      <c r="K9" s="23" t="s">
        <v>42</v>
      </c>
      <c r="L9" s="26"/>
      <c r="M9" s="26" t="str">
        <f t="shared" si="1"/>
        <v/>
      </c>
      <c r="N9" s="24"/>
      <c r="O9" s="23"/>
      <c r="P9" s="23"/>
      <c r="Q9" s="24" t="s">
        <v>53</v>
      </c>
      <c r="R9" s="27" t="s">
        <v>54</v>
      </c>
    </row>
    <row r="10" s="22" customFormat="1" ht="64" customHeight="1">
      <c r="A10" s="23">
        <v>4</v>
      </c>
      <c r="B10" s="23" t="s">
        <v>55</v>
      </c>
      <c r="C10" s="23" t="s">
        <v>50</v>
      </c>
      <c r="D10" s="24" t="s">
        <v>56</v>
      </c>
      <c r="E10" s="24" t="s">
        <v>57</v>
      </c>
      <c r="F10" s="24" t="s">
        <v>41</v>
      </c>
      <c r="G10" s="23">
        <v>5</v>
      </c>
      <c r="H10" s="23">
        <f>'Tổng quan'!$B$1</f>
        <v>1</v>
      </c>
      <c r="I10" s="25">
        <f>'Tổng quan'!$D$1</f>
        <v>0</v>
      </c>
      <c r="J10" s="23">
        <f t="shared" ref="J10:J15" si="2">ROUNDUP(G10*H10*(1+I10),0)</f>
        <v>5</v>
      </c>
      <c r="K10" s="23" t="s">
        <v>42</v>
      </c>
      <c r="L10" s="26"/>
      <c r="M10" s="26" t="str">
        <f t="shared" ref="M10:M15" si="3">IF(L10="","",J10*L10)</f>
        <v/>
      </c>
      <c r="N10" s="24"/>
      <c r="O10" s="23"/>
      <c r="P10" s="23"/>
      <c r="Q10" s="24" t="s">
        <v>53</v>
      </c>
      <c r="R10" s="27" t="s">
        <v>58</v>
      </c>
    </row>
    <row r="11" s="22" customFormat="1" ht="64" customHeight="1">
      <c r="A11" s="23">
        <v>5</v>
      </c>
      <c r="B11" s="23" t="s">
        <v>59</v>
      </c>
      <c r="C11" s="23" t="s">
        <v>60</v>
      </c>
      <c r="D11" s="24" t="s">
        <v>61</v>
      </c>
      <c r="E11" s="24" t="s">
        <v>62</v>
      </c>
      <c r="F11" s="24" t="s">
        <v>41</v>
      </c>
      <c r="G11" s="23">
        <v>3</v>
      </c>
      <c r="H11" s="23">
        <f>'Tổng quan'!$B$1</f>
        <v>1</v>
      </c>
      <c r="I11" s="25">
        <f>'Tổng quan'!$D$1</f>
        <v>0</v>
      </c>
      <c r="J11" s="23">
        <f t="shared" si="2"/>
        <v>3</v>
      </c>
      <c r="K11" s="23" t="s">
        <v>42</v>
      </c>
      <c r="L11" s="26"/>
      <c r="M11" s="26" t="str">
        <f t="shared" si="3"/>
        <v/>
      </c>
      <c r="N11" s="24"/>
      <c r="O11" s="23"/>
      <c r="P11" s="23"/>
      <c r="Q11" s="24" t="s">
        <v>53</v>
      </c>
      <c r="R11" s="27" t="s">
        <v>63</v>
      </c>
    </row>
    <row r="12" s="22" customFormat="1" ht="64" customHeight="1">
      <c r="A12" s="23">
        <v>6</v>
      </c>
      <c r="B12" s="23" t="s">
        <v>64</v>
      </c>
      <c r="C12" s="23" t="s">
        <v>65</v>
      </c>
      <c r="D12" s="24" t="s">
        <v>66</v>
      </c>
      <c r="E12" s="24" t="s">
        <v>67</v>
      </c>
      <c r="F12" s="24" t="s">
        <v>41</v>
      </c>
      <c r="G12" s="23">
        <v>6</v>
      </c>
      <c r="H12" s="23">
        <f>'Tổng quan'!$B$1</f>
        <v>1</v>
      </c>
      <c r="I12" s="25">
        <f>'Tổng quan'!$D$1</f>
        <v>0</v>
      </c>
      <c r="J12" s="23">
        <f t="shared" si="2"/>
        <v>6</v>
      </c>
      <c r="K12" s="23" t="s">
        <v>42</v>
      </c>
      <c r="L12" s="26"/>
      <c r="M12" s="26" t="str">
        <f t="shared" si="3"/>
        <v/>
      </c>
      <c r="N12" s="24"/>
      <c r="O12" s="23"/>
      <c r="P12" s="23"/>
      <c r="Q12" s="24" t="s">
        <v>53</v>
      </c>
      <c r="R12" s="27" t="s">
        <v>68</v>
      </c>
    </row>
    <row r="13" s="22" customFormat="1" ht="64" customHeight="1">
      <c r="A13" s="23">
        <v>7</v>
      </c>
      <c r="B13" s="23" t="s">
        <v>69</v>
      </c>
      <c r="C13" s="23" t="s">
        <v>70</v>
      </c>
      <c r="D13" s="24" t="s">
        <v>71</v>
      </c>
      <c r="E13" s="24" t="s">
        <v>72</v>
      </c>
      <c r="F13" s="24" t="s">
        <v>41</v>
      </c>
      <c r="G13" s="23">
        <v>1</v>
      </c>
      <c r="H13" s="23">
        <f>'Tổng quan'!$B$1</f>
        <v>1</v>
      </c>
      <c r="I13" s="25">
        <f>'Tổng quan'!$D$1</f>
        <v>0</v>
      </c>
      <c r="J13" s="23">
        <f t="shared" si="2"/>
        <v>1</v>
      </c>
      <c r="K13" s="23" t="s">
        <v>42</v>
      </c>
      <c r="L13" s="26"/>
      <c r="M13" s="26" t="str">
        <f t="shared" si="3"/>
        <v/>
      </c>
      <c r="N13" s="24"/>
      <c r="O13" s="23"/>
      <c r="P13" s="23"/>
      <c r="Q13" s="24" t="s">
        <v>53</v>
      </c>
      <c r="R13" s="27" t="s">
        <v>73</v>
      </c>
    </row>
    <row r="14" s="22" customFormat="1" ht="64" customHeight="1">
      <c r="A14" s="23">
        <v>8</v>
      </c>
      <c r="B14" s="23" t="s">
        <v>74</v>
      </c>
      <c r="C14" s="23" t="s">
        <v>75</v>
      </c>
      <c r="D14" s="24" t="s">
        <v>76</v>
      </c>
      <c r="E14" s="24" t="s">
        <v>77</v>
      </c>
      <c r="F14" s="24" t="s">
        <v>78</v>
      </c>
      <c r="G14" s="23">
        <v>2</v>
      </c>
      <c r="H14" s="23">
        <f>'Tổng quan'!$B$1</f>
        <v>1</v>
      </c>
      <c r="I14" s="25">
        <f>'Tổng quan'!$D$1</f>
        <v>0</v>
      </c>
      <c r="J14" s="23">
        <f t="shared" si="2"/>
        <v>2</v>
      </c>
      <c r="K14" s="23" t="s">
        <v>42</v>
      </c>
      <c r="L14" s="26"/>
      <c r="M14" s="26" t="str">
        <f t="shared" si="3"/>
        <v/>
      </c>
      <c r="N14" s="24"/>
      <c r="O14" s="23"/>
      <c r="P14" s="23"/>
      <c r="Q14" s="24" t="s">
        <v>53</v>
      </c>
      <c r="R14" s="27" t="s">
        <v>79</v>
      </c>
    </row>
    <row r="15" s="22" customFormat="1" ht="64" customHeight="1">
      <c r="A15" s="23">
        <v>9</v>
      </c>
      <c r="B15" s="23" t="s">
        <v>80</v>
      </c>
      <c r="C15" s="23" t="s">
        <v>81</v>
      </c>
      <c r="D15" s="24" t="s">
        <v>82</v>
      </c>
      <c r="E15" s="24" t="s">
        <v>83</v>
      </c>
      <c r="F15" s="24" t="s">
        <v>41</v>
      </c>
      <c r="G15" s="23">
        <v>1</v>
      </c>
      <c r="H15" s="23">
        <f>'Tổng quan'!$B$1</f>
        <v>1</v>
      </c>
      <c r="I15" s="25">
        <f>'Tổng quan'!$D$1</f>
        <v>0</v>
      </c>
      <c r="J15" s="23">
        <f t="shared" si="2"/>
        <v>1</v>
      </c>
      <c r="K15" s="23" t="s">
        <v>42</v>
      </c>
      <c r="L15" s="26"/>
      <c r="M15" s="26" t="str">
        <f t="shared" si="3"/>
        <v/>
      </c>
      <c r="N15" s="24"/>
      <c r="O15" s="23"/>
      <c r="P15" s="23"/>
      <c r="Q15" s="24" t="s">
        <v>53</v>
      </c>
      <c r="R15" s="27" t="s">
        <v>84</v>
      </c>
    </row>
    <row r="16" s="28" customFormat="1" ht="15"/>
    <row r="17" s="29" customFormat="1" ht="42" customHeight="1">
      <c r="A17" s="29"/>
      <c r="B17" s="29"/>
      <c r="C17" s="30" t="s">
        <v>85</v>
      </c>
      <c r="D17" s="29"/>
      <c r="E17" s="29"/>
      <c r="F17" s="29"/>
      <c r="G17" s="30">
        <f>SUM(G7:G15)</f>
        <v>28</v>
      </c>
      <c r="H17" s="29"/>
      <c r="I17" s="29"/>
      <c r="J17" s="30">
        <f>SUM(J7:J15)</f>
        <v>28</v>
      </c>
      <c r="K17" s="29"/>
      <c r="L17" s="29"/>
      <c r="M17" s="31">
        <f>SUM(M7:M15)</f>
        <v>0</v>
      </c>
      <c r="N17" s="29"/>
      <c r="O17" s="29"/>
      <c r="P17" s="29"/>
      <c r="Q17" s="29"/>
      <c r="R17" s="29"/>
    </row>
  </sheetData>
  <autoFilter ref="A6:R15"/>
  <mergeCells count="2">
    <mergeCell ref="A1:R2"/>
    <mergeCell ref="A3:R3"/>
  </mergeCells>
  <printOptions headings="0" gridLines="0" horizontalCentered="1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85" workbookViewId="0">
      <pane xSplit="4" ySplit="5" topLeftCell="E6" activePane="bottomRight" state="frozen"/>
      <selection activeCell="A1" activeCellId="0" sqref="A1"/>
    </sheetView>
  </sheetViews>
  <sheetFormatPr baseColWidth="8" defaultRowHeight="14.25"/>
  <cols>
    <col customWidth="1" min="1" max="1" style="32" width="6"/>
    <col customWidth="1" min="2" max="2" style="32" width="14"/>
    <col customWidth="1" min="3" max="3" style="32" width="36.00390625"/>
    <col customWidth="1" min="4" max="4" style="32" width="67"/>
    <col customWidth="1" min="5" max="6" style="32" width="10"/>
    <col customWidth="1" min="7" max="8" style="32" width="12"/>
    <col customWidth="1" min="9" max="9" style="32" width="19"/>
    <col customWidth="1" min="10" max="10" style="32" width="22"/>
    <col customWidth="1" min="11" max="11" style="32" width="20"/>
    <col customWidth="1" min="12" max="12" style="32" width="33"/>
    <col customWidth="1" min="13" max="13" style="32" width="85"/>
    <col min="14" max="16384" style="32" width="9.140625"/>
  </cols>
  <sheetData>
    <row r="1" s="33" customFormat="1" ht="26" customHeight="1">
      <c r="A1" s="34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33" customFormat="1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8" customHeight="1">
      <c r="A3" s="35" t="s">
        <v>87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6" s="20" customFormat="1" ht="40" customHeight="1">
      <c r="A6" s="21" t="s">
        <v>19</v>
      </c>
      <c r="B6" s="21" t="s">
        <v>88</v>
      </c>
      <c r="C6" s="21" t="s">
        <v>89</v>
      </c>
      <c r="D6" s="21" t="s">
        <v>90</v>
      </c>
      <c r="E6" s="21" t="s">
        <v>25</v>
      </c>
      <c r="F6" s="21" t="s">
        <v>26</v>
      </c>
      <c r="G6" s="21" t="s">
        <v>91</v>
      </c>
      <c r="H6" s="21" t="s">
        <v>28</v>
      </c>
      <c r="I6" s="21" t="s">
        <v>30</v>
      </c>
      <c r="J6" s="21" t="s">
        <v>31</v>
      </c>
      <c r="K6" s="21" t="s">
        <v>33</v>
      </c>
      <c r="L6" s="21" t="s">
        <v>34</v>
      </c>
      <c r="M6" s="21" t="s">
        <v>92</v>
      </c>
    </row>
    <row r="7" s="22" customFormat="1" ht="64" customHeight="1">
      <c r="A7" s="23">
        <v>2</v>
      </c>
      <c r="B7" s="23" t="s">
        <v>93</v>
      </c>
      <c r="C7" s="23" t="s">
        <v>94</v>
      </c>
      <c r="D7" s="24" t="s">
        <v>95</v>
      </c>
      <c r="E7" s="24">
        <v>1</v>
      </c>
      <c r="F7" s="24">
        <f>'Tổng quan'!$B$1</f>
        <v>1</v>
      </c>
      <c r="G7" s="23" t="s">
        <v>96</v>
      </c>
      <c r="H7" s="23">
        <f t="shared" ref="H7:H8" si="4">IF(G7="Có",E7*F7,0)</f>
        <v>1</v>
      </c>
      <c r="I7" s="26"/>
      <c r="J7" s="26" t="str">
        <f t="shared" ref="J7:J8" si="5">IF(OR(G7&lt;&gt;"Có",I7=""),"",H7*I7)</f>
        <v/>
      </c>
      <c r="K7" s="23"/>
      <c r="L7" s="23"/>
      <c r="M7" s="23" t="s">
        <v>97</v>
      </c>
    </row>
    <row r="8" s="22" customFormat="1" ht="64" customHeight="1">
      <c r="A8" s="23">
        <v>3</v>
      </c>
      <c r="B8" s="23" t="s">
        <v>98</v>
      </c>
      <c r="C8" s="23" t="s">
        <v>99</v>
      </c>
      <c r="D8" s="24" t="s">
        <v>100</v>
      </c>
      <c r="E8" s="24">
        <v>2</v>
      </c>
      <c r="F8" s="24">
        <f>'Tổng quan'!$B$1</f>
        <v>1</v>
      </c>
      <c r="G8" s="23" t="s">
        <v>101</v>
      </c>
      <c r="H8" s="23">
        <f t="shared" si="4"/>
        <v>0</v>
      </c>
      <c r="I8" s="26"/>
      <c r="J8" s="26" t="str">
        <f t="shared" si="5"/>
        <v/>
      </c>
      <c r="K8" s="23"/>
      <c r="L8" s="23"/>
      <c r="M8" s="23" t="s">
        <v>102</v>
      </c>
    </row>
    <row r="9" s="22" customFormat="1" ht="64" customHeight="1">
      <c r="A9" s="23">
        <v>4</v>
      </c>
      <c r="B9" s="23" t="s">
        <v>98</v>
      </c>
      <c r="C9" s="23" t="s">
        <v>103</v>
      </c>
      <c r="D9" s="24" t="s">
        <v>104</v>
      </c>
      <c r="E9" s="24">
        <v>4</v>
      </c>
      <c r="F9" s="24">
        <f>'Tổng quan'!$B$1</f>
        <v>1</v>
      </c>
      <c r="G9" s="23" t="s">
        <v>101</v>
      </c>
      <c r="H9" s="23">
        <f t="shared" ref="H9:H13" si="6">IF(G9="Có",E9*F9,0)</f>
        <v>0</v>
      </c>
      <c r="I9" s="26"/>
      <c r="J9" s="26" t="str">
        <f t="shared" ref="J9:J13" si="7">IF(OR(G9&lt;&gt;"Có",I9=""),"",H9*I9)</f>
        <v/>
      </c>
      <c r="K9" s="23"/>
      <c r="L9" s="23"/>
      <c r="M9" s="23" t="s">
        <v>105</v>
      </c>
    </row>
    <row r="10" s="22" customFormat="1" ht="64" customHeight="1">
      <c r="A10" s="23">
        <v>5</v>
      </c>
      <c r="B10" s="23" t="s">
        <v>98</v>
      </c>
      <c r="C10" s="23" t="s">
        <v>106</v>
      </c>
      <c r="D10" s="24" t="s">
        <v>107</v>
      </c>
      <c r="E10" s="24">
        <v>4</v>
      </c>
      <c r="F10" s="24">
        <f>'Tổng quan'!$B$1</f>
        <v>1</v>
      </c>
      <c r="G10" s="23" t="s">
        <v>101</v>
      </c>
      <c r="H10" s="23">
        <f t="shared" si="6"/>
        <v>0</v>
      </c>
      <c r="I10" s="26"/>
      <c r="J10" s="26" t="str">
        <f t="shared" si="7"/>
        <v/>
      </c>
      <c r="K10" s="23"/>
      <c r="L10" s="23"/>
      <c r="M10" s="23" t="s">
        <v>108</v>
      </c>
    </row>
    <row r="11" s="22" customFormat="1" ht="64" customHeight="1">
      <c r="A11" s="23">
        <v>6</v>
      </c>
      <c r="B11" s="23" t="s">
        <v>98</v>
      </c>
      <c r="C11" s="23" t="s">
        <v>109</v>
      </c>
      <c r="D11" s="24" t="s">
        <v>110</v>
      </c>
      <c r="E11" s="24">
        <v>4</v>
      </c>
      <c r="F11" s="24">
        <f>'Tổng quan'!$B$1</f>
        <v>1</v>
      </c>
      <c r="G11" s="23" t="s">
        <v>101</v>
      </c>
      <c r="H11" s="23">
        <f t="shared" si="6"/>
        <v>0</v>
      </c>
      <c r="I11" s="26"/>
      <c r="J11" s="26" t="str">
        <f t="shared" si="7"/>
        <v/>
      </c>
      <c r="K11" s="23"/>
      <c r="L11" s="23"/>
      <c r="M11" s="23" t="s">
        <v>111</v>
      </c>
    </row>
    <row r="12" s="22" customFormat="1" ht="64" customHeight="1">
      <c r="A12" s="23">
        <v>7</v>
      </c>
      <c r="B12" s="23" t="s">
        <v>98</v>
      </c>
      <c r="C12" s="23" t="s">
        <v>112</v>
      </c>
      <c r="D12" s="24" t="s">
        <v>113</v>
      </c>
      <c r="E12" s="24">
        <v>4</v>
      </c>
      <c r="F12" s="24">
        <f>'Tổng quan'!$B$1</f>
        <v>1</v>
      </c>
      <c r="G12" s="23" t="s">
        <v>101</v>
      </c>
      <c r="H12" s="23">
        <f t="shared" si="6"/>
        <v>0</v>
      </c>
      <c r="I12" s="26"/>
      <c r="J12" s="26" t="str">
        <f t="shared" si="7"/>
        <v/>
      </c>
      <c r="K12" s="23"/>
      <c r="L12" s="23"/>
      <c r="M12" s="23" t="s">
        <v>114</v>
      </c>
    </row>
    <row r="13" s="22" customFormat="1" ht="64" customHeight="1">
      <c r="A13" s="23">
        <v>8</v>
      </c>
      <c r="B13" s="23" t="s">
        <v>98</v>
      </c>
      <c r="C13" s="23" t="s">
        <v>115</v>
      </c>
      <c r="D13" s="24" t="s">
        <v>116</v>
      </c>
      <c r="E13" s="24">
        <v>1</v>
      </c>
      <c r="F13" s="24">
        <f>'Tổng quan'!$B$1</f>
        <v>1</v>
      </c>
      <c r="G13" s="23" t="s">
        <v>101</v>
      </c>
      <c r="H13" s="23">
        <f t="shared" si="6"/>
        <v>0</v>
      </c>
      <c r="I13" s="26"/>
      <c r="J13" s="26" t="str">
        <f t="shared" si="7"/>
        <v/>
      </c>
      <c r="K13" s="23"/>
      <c r="L13" s="23"/>
      <c r="M13" s="23" t="s">
        <v>117</v>
      </c>
    </row>
    <row r="14" s="37" customFormat="1" ht="14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="38" customFormat="1" ht="31.5" customHeight="1">
      <c r="A15" s="38"/>
      <c r="B15" s="38"/>
      <c r="C15" s="39" t="s">
        <v>118</v>
      </c>
      <c r="D15" s="38"/>
      <c r="E15" s="38"/>
      <c r="F15" s="38"/>
      <c r="G15" s="38"/>
      <c r="H15" s="39">
        <f>SUM(H7:H13)</f>
        <v>1</v>
      </c>
      <c r="I15" s="38"/>
      <c r="J15" s="40">
        <f>SUM(J7:J13)</f>
        <v>0</v>
      </c>
      <c r="K15" s="38"/>
      <c r="L15" s="38"/>
      <c r="M15" s="38"/>
      <c r="N15" s="38"/>
      <c r="O15" s="38"/>
      <c r="P15" s="38"/>
      <c r="Q15" s="38"/>
      <c r="R15" s="38"/>
    </row>
    <row r="16" ht="14.25">
      <c r="H16" s="32"/>
      <c r="J16" s="32"/>
    </row>
  </sheetData>
  <autoFilter ref="A6:M13"/>
  <mergeCells count="2">
    <mergeCell ref="A1:R2"/>
    <mergeCell ref="A3:R3"/>
  </mergeCells>
  <printOptions headings="0" gridLines="0" horizontalCentered="1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F76F716D-9E8C-47D6-83B8-CBE9EA38DFD4}" type="list" allowBlank="0" errorStyle="stop" imeMode="noControl" operator="between" showDropDown="0" showErrorMessage="0" showInputMessage="0">
          <x14:formula1>
            <xm:f>"Có,Không"</xm:f>
          </x14:formula1>
          <xm:sqref>G7:G13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85" workbookViewId="0">
      <pane xSplit="3" ySplit="6" topLeftCell="D7" activePane="bottomRight" state="frozen"/>
      <selection activeCell="A1" activeCellId="0" sqref="A1"/>
    </sheetView>
  </sheetViews>
  <sheetFormatPr baseColWidth="8" defaultRowHeight="15"/>
  <cols>
    <col customWidth="1" min="1" max="1" style="32" width="15"/>
    <col customWidth="1" min="2" max="2" style="32" width="18"/>
    <col customWidth="1" min="3" max="3" style="32" width="22"/>
    <col customWidth="1" min="4" max="4" style="32" width="34"/>
    <col customWidth="1" min="5" max="5" style="32" width="76"/>
    <col customWidth="1" min="6" max="6" style="41" width="9"/>
    <col customWidth="1" min="7" max="7" style="32" width="12"/>
    <col customWidth="1" min="8" max="9" style="32" width="18"/>
    <col customWidth="1" min="10" max="10" style="32" width="24"/>
    <col customWidth="1" min="11" max="11" style="32" width="66"/>
    <col min="12" max="16384" style="32" width="9.140625"/>
  </cols>
  <sheetData>
    <row r="1" s="33" customFormat="1" ht="26" customHeight="1">
      <c r="A1" s="16" t="s">
        <v>119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="33" customFormat="1" ht="18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ht="28" customHeight="1">
      <c r="A3" s="42" t="s">
        <v>120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6" s="38" customFormat="1" ht="40" customHeight="1">
      <c r="A6" s="44" t="s">
        <v>20</v>
      </c>
      <c r="B6" s="44" t="s">
        <v>121</v>
      </c>
      <c r="C6" s="44" t="s">
        <v>122</v>
      </c>
      <c r="D6" s="44" t="s">
        <v>123</v>
      </c>
      <c r="E6" s="44" t="s">
        <v>124</v>
      </c>
      <c r="F6" s="45" t="s">
        <v>125</v>
      </c>
      <c r="G6" s="44" t="s">
        <v>24</v>
      </c>
      <c r="H6" s="44" t="s">
        <v>126</v>
      </c>
      <c r="I6" s="44" t="s">
        <v>127</v>
      </c>
      <c r="J6" s="44" t="s">
        <v>128</v>
      </c>
      <c r="K6" s="44" t="s">
        <v>129</v>
      </c>
    </row>
    <row r="7" s="22" customFormat="1" ht="35" customHeight="1">
      <c r="A7" s="46" t="s">
        <v>80</v>
      </c>
      <c r="B7" s="46" t="s">
        <v>130</v>
      </c>
      <c r="C7" s="46" t="s">
        <v>130</v>
      </c>
      <c r="D7" s="47" t="s">
        <v>131</v>
      </c>
      <c r="E7" s="47" t="s">
        <v>83</v>
      </c>
      <c r="F7" s="24">
        <v>2</v>
      </c>
      <c r="G7" s="46" t="s">
        <v>132</v>
      </c>
      <c r="H7" s="46" t="s">
        <v>96</v>
      </c>
      <c r="I7" s="46" t="s">
        <v>96</v>
      </c>
      <c r="J7" s="46" t="s">
        <v>133</v>
      </c>
      <c r="K7" s="46" t="s">
        <v>134</v>
      </c>
    </row>
    <row r="8" s="22" customFormat="1" ht="35" customHeight="1">
      <c r="A8" s="46" t="s">
        <v>135</v>
      </c>
      <c r="B8" s="46" t="s">
        <v>136</v>
      </c>
      <c r="C8" s="46" t="s">
        <v>136</v>
      </c>
      <c r="D8" s="47" t="s">
        <v>137</v>
      </c>
      <c r="E8" s="47" t="s">
        <v>52</v>
      </c>
      <c r="F8" s="24">
        <v>2</v>
      </c>
      <c r="G8" s="46" t="s">
        <v>132</v>
      </c>
      <c r="H8" s="46" t="s">
        <v>96</v>
      </c>
      <c r="I8" s="46" t="s">
        <v>96</v>
      </c>
      <c r="J8" s="46" t="s">
        <v>133</v>
      </c>
      <c r="K8" s="46"/>
    </row>
    <row r="9" s="22" customFormat="1" ht="35" customHeight="1">
      <c r="A9" s="46" t="s">
        <v>138</v>
      </c>
      <c r="B9" s="46" t="s">
        <v>136</v>
      </c>
      <c r="C9" s="46" t="s">
        <v>136</v>
      </c>
      <c r="D9" s="47" t="s">
        <v>137</v>
      </c>
      <c r="E9" s="47" t="s">
        <v>52</v>
      </c>
      <c r="F9" s="24">
        <v>2</v>
      </c>
      <c r="G9" s="46" t="s">
        <v>132</v>
      </c>
      <c r="H9" s="46" t="s">
        <v>96</v>
      </c>
      <c r="I9" s="46" t="s">
        <v>96</v>
      </c>
      <c r="J9" s="46" t="s">
        <v>133</v>
      </c>
      <c r="K9" s="46"/>
    </row>
    <row r="10" s="22" customFormat="1" ht="35" customHeight="1">
      <c r="A10" s="46" t="s">
        <v>139</v>
      </c>
      <c r="B10" s="46" t="s">
        <v>140</v>
      </c>
      <c r="C10" s="46" t="s">
        <v>140</v>
      </c>
      <c r="D10" s="47" t="s">
        <v>137</v>
      </c>
      <c r="E10" s="47" t="s">
        <v>57</v>
      </c>
      <c r="F10" s="24">
        <v>2</v>
      </c>
      <c r="G10" s="46" t="s">
        <v>132</v>
      </c>
      <c r="H10" s="46" t="s">
        <v>96</v>
      </c>
      <c r="I10" s="46" t="s">
        <v>96</v>
      </c>
      <c r="J10" s="46" t="s">
        <v>133</v>
      </c>
      <c r="K10" s="46"/>
    </row>
    <row r="11" s="22" customFormat="1" ht="35" customHeight="1">
      <c r="A11" s="46" t="s">
        <v>141</v>
      </c>
      <c r="B11" s="46" t="s">
        <v>140</v>
      </c>
      <c r="C11" s="46" t="s">
        <v>140</v>
      </c>
      <c r="D11" s="47" t="s">
        <v>137</v>
      </c>
      <c r="E11" s="47" t="s">
        <v>57</v>
      </c>
      <c r="F11" s="24">
        <v>2</v>
      </c>
      <c r="G11" s="46" t="s">
        <v>132</v>
      </c>
      <c r="H11" s="46" t="s">
        <v>96</v>
      </c>
      <c r="I11" s="46" t="s">
        <v>96</v>
      </c>
      <c r="J11" s="46" t="s">
        <v>133</v>
      </c>
      <c r="K11" s="46"/>
    </row>
    <row r="12" s="22" customFormat="1" ht="35" customHeight="1">
      <c r="A12" s="46" t="s">
        <v>142</v>
      </c>
      <c r="B12" s="46" t="s">
        <v>140</v>
      </c>
      <c r="C12" s="46" t="s">
        <v>140</v>
      </c>
      <c r="D12" s="47" t="s">
        <v>137</v>
      </c>
      <c r="E12" s="47" t="s">
        <v>57</v>
      </c>
      <c r="F12" s="24">
        <v>2</v>
      </c>
      <c r="G12" s="46" t="s">
        <v>132</v>
      </c>
      <c r="H12" s="46" t="s">
        <v>96</v>
      </c>
      <c r="I12" s="46" t="s">
        <v>96</v>
      </c>
      <c r="J12" s="46" t="s">
        <v>133</v>
      </c>
      <c r="K12" s="46"/>
    </row>
    <row r="13" s="22" customFormat="1" ht="35" customHeight="1">
      <c r="A13" s="46" t="s">
        <v>143</v>
      </c>
      <c r="B13" s="46" t="s">
        <v>140</v>
      </c>
      <c r="C13" s="46" t="s">
        <v>140</v>
      </c>
      <c r="D13" s="47" t="s">
        <v>137</v>
      </c>
      <c r="E13" s="47" t="s">
        <v>57</v>
      </c>
      <c r="F13" s="24">
        <v>2</v>
      </c>
      <c r="G13" s="46" t="s">
        <v>132</v>
      </c>
      <c r="H13" s="46" t="s">
        <v>96</v>
      </c>
      <c r="I13" s="46" t="s">
        <v>96</v>
      </c>
      <c r="J13" s="46" t="s">
        <v>133</v>
      </c>
      <c r="K13" s="46"/>
    </row>
    <row r="14" s="22" customFormat="1" ht="35" customHeight="1">
      <c r="A14" s="46" t="s">
        <v>144</v>
      </c>
      <c r="B14" s="46" t="s">
        <v>140</v>
      </c>
      <c r="C14" s="46" t="s">
        <v>140</v>
      </c>
      <c r="D14" s="47" t="s">
        <v>137</v>
      </c>
      <c r="E14" s="47" t="s">
        <v>57</v>
      </c>
      <c r="F14" s="24">
        <v>2</v>
      </c>
      <c r="G14" s="46" t="s">
        <v>132</v>
      </c>
      <c r="H14" s="46" t="s">
        <v>96</v>
      </c>
      <c r="I14" s="46" t="s">
        <v>96</v>
      </c>
      <c r="J14" s="46" t="s">
        <v>133</v>
      </c>
      <c r="K14" s="46"/>
    </row>
    <row r="15" s="22" customFormat="1" ht="35" customHeight="1">
      <c r="A15" s="46" t="s">
        <v>145</v>
      </c>
      <c r="B15" s="46" t="s">
        <v>146</v>
      </c>
      <c r="C15" s="46" t="s">
        <v>146</v>
      </c>
      <c r="D15" s="47" t="s">
        <v>147</v>
      </c>
      <c r="E15" s="47" t="s">
        <v>62</v>
      </c>
      <c r="F15" s="24">
        <v>2</v>
      </c>
      <c r="G15" s="46" t="s">
        <v>132</v>
      </c>
      <c r="H15" s="46" t="s">
        <v>96</v>
      </c>
      <c r="I15" s="46" t="s">
        <v>96</v>
      </c>
      <c r="J15" s="46" t="s">
        <v>133</v>
      </c>
      <c r="K15" s="46"/>
    </row>
    <row r="16" s="22" customFormat="1" ht="35" customHeight="1">
      <c r="A16" s="46" t="s">
        <v>148</v>
      </c>
      <c r="B16" s="46" t="s">
        <v>146</v>
      </c>
      <c r="C16" s="46" t="s">
        <v>146</v>
      </c>
      <c r="D16" s="47" t="s">
        <v>147</v>
      </c>
      <c r="E16" s="47" t="s">
        <v>62</v>
      </c>
      <c r="F16" s="24">
        <v>2</v>
      </c>
      <c r="G16" s="46" t="s">
        <v>132</v>
      </c>
      <c r="H16" s="46" t="s">
        <v>96</v>
      </c>
      <c r="I16" s="46" t="s">
        <v>96</v>
      </c>
      <c r="J16" s="46" t="s">
        <v>133</v>
      </c>
      <c r="K16" s="46"/>
    </row>
    <row r="17" s="22" customFormat="1" ht="35" customHeight="1">
      <c r="A17" s="46" t="s">
        <v>149</v>
      </c>
      <c r="B17" s="46" t="s">
        <v>146</v>
      </c>
      <c r="C17" s="46" t="s">
        <v>146</v>
      </c>
      <c r="D17" s="47" t="s">
        <v>147</v>
      </c>
      <c r="E17" s="47" t="s">
        <v>62</v>
      </c>
      <c r="F17" s="24">
        <v>2</v>
      </c>
      <c r="G17" s="46" t="s">
        <v>132</v>
      </c>
      <c r="H17" s="46" t="s">
        <v>96</v>
      </c>
      <c r="I17" s="46" t="s">
        <v>96</v>
      </c>
      <c r="J17" s="46" t="s">
        <v>133</v>
      </c>
      <c r="K17" s="46"/>
    </row>
    <row r="18" s="48" customFormat="1" ht="35" customHeight="1">
      <c r="A18" s="49" t="s">
        <v>150</v>
      </c>
      <c r="B18" s="49"/>
      <c r="C18" s="49" t="s">
        <v>151</v>
      </c>
      <c r="D18" s="50" t="s">
        <v>152</v>
      </c>
      <c r="E18" s="50" t="s">
        <v>153</v>
      </c>
      <c r="F18" s="51">
        <v>1</v>
      </c>
      <c r="G18" s="49" t="s">
        <v>132</v>
      </c>
      <c r="H18" s="49" t="s">
        <v>101</v>
      </c>
      <c r="I18" s="49" t="s">
        <v>101</v>
      </c>
      <c r="J18" s="49" t="s">
        <v>154</v>
      </c>
      <c r="K18" s="49" t="s">
        <v>155</v>
      </c>
    </row>
    <row r="19" s="48" customFormat="1" ht="35" customHeight="1">
      <c r="A19" s="49" t="s">
        <v>156</v>
      </c>
      <c r="B19" s="49"/>
      <c r="C19" s="49" t="s">
        <v>151</v>
      </c>
      <c r="D19" s="50" t="s">
        <v>152</v>
      </c>
      <c r="E19" s="50" t="s">
        <v>153</v>
      </c>
      <c r="F19" s="51">
        <v>1</v>
      </c>
      <c r="G19" s="49" t="s">
        <v>132</v>
      </c>
      <c r="H19" s="49" t="s">
        <v>101</v>
      </c>
      <c r="I19" s="49" t="s">
        <v>101</v>
      </c>
      <c r="J19" s="49" t="s">
        <v>154</v>
      </c>
      <c r="K19" s="49" t="s">
        <v>155</v>
      </c>
    </row>
    <row r="20" s="48" customFormat="1" ht="35" customHeight="1">
      <c r="A20" s="49" t="s">
        <v>157</v>
      </c>
      <c r="B20" s="49"/>
      <c r="C20" s="49" t="s">
        <v>151</v>
      </c>
      <c r="D20" s="50" t="s">
        <v>152</v>
      </c>
      <c r="E20" s="50" t="s">
        <v>153</v>
      </c>
      <c r="F20" s="51">
        <v>1</v>
      </c>
      <c r="G20" s="49" t="s">
        <v>132</v>
      </c>
      <c r="H20" s="49" t="s">
        <v>101</v>
      </c>
      <c r="I20" s="49" t="s">
        <v>101</v>
      </c>
      <c r="J20" s="49" t="s">
        <v>154</v>
      </c>
      <c r="K20" s="49" t="s">
        <v>155</v>
      </c>
    </row>
    <row r="21" s="48" customFormat="1" ht="35" customHeight="1">
      <c r="A21" s="49" t="s">
        <v>158</v>
      </c>
      <c r="B21" s="49"/>
      <c r="C21" s="49" t="s">
        <v>151</v>
      </c>
      <c r="D21" s="50" t="s">
        <v>152</v>
      </c>
      <c r="E21" s="50" t="s">
        <v>153</v>
      </c>
      <c r="F21" s="51">
        <v>1</v>
      </c>
      <c r="G21" s="49" t="s">
        <v>132</v>
      </c>
      <c r="H21" s="49" t="s">
        <v>101</v>
      </c>
      <c r="I21" s="49" t="s">
        <v>101</v>
      </c>
      <c r="J21" s="49" t="s">
        <v>154</v>
      </c>
      <c r="K21" s="49" t="s">
        <v>155</v>
      </c>
    </row>
    <row r="22" s="22" customFormat="1" ht="35" customHeight="1">
      <c r="A22" s="46" t="s">
        <v>159</v>
      </c>
      <c r="B22" s="46" t="s">
        <v>160</v>
      </c>
      <c r="C22" s="46" t="s">
        <v>160</v>
      </c>
      <c r="D22" s="47" t="s">
        <v>161</v>
      </c>
      <c r="E22" s="47" t="s">
        <v>77</v>
      </c>
      <c r="F22" s="24">
        <v>13</v>
      </c>
      <c r="G22" s="46" t="s">
        <v>162</v>
      </c>
      <c r="H22" s="46" t="s">
        <v>96</v>
      </c>
      <c r="I22" s="46" t="s">
        <v>96</v>
      </c>
      <c r="J22" s="46" t="s">
        <v>133</v>
      </c>
      <c r="K22" s="46" t="s">
        <v>163</v>
      </c>
    </row>
    <row r="23" s="22" customFormat="1" ht="35" customHeight="1">
      <c r="A23" s="46" t="s">
        <v>164</v>
      </c>
      <c r="B23" s="46" t="s">
        <v>165</v>
      </c>
      <c r="C23" s="46" t="s">
        <v>165</v>
      </c>
      <c r="D23" s="47" t="s">
        <v>161</v>
      </c>
      <c r="E23" s="47" t="s">
        <v>77</v>
      </c>
      <c r="F23" s="24">
        <v>13</v>
      </c>
      <c r="G23" s="46" t="s">
        <v>162</v>
      </c>
      <c r="H23" s="46" t="s">
        <v>96</v>
      </c>
      <c r="I23" s="46" t="s">
        <v>96</v>
      </c>
      <c r="J23" s="46" t="s">
        <v>133</v>
      </c>
      <c r="K23" s="46" t="s">
        <v>163</v>
      </c>
    </row>
    <row r="24" s="22" customFormat="1" ht="35" customHeight="1">
      <c r="A24" s="46" t="s">
        <v>166</v>
      </c>
      <c r="B24" s="46" t="s">
        <v>167</v>
      </c>
      <c r="C24" s="46" t="s">
        <v>167</v>
      </c>
      <c r="D24" s="47" t="s">
        <v>168</v>
      </c>
      <c r="E24" s="47" t="s">
        <v>40</v>
      </c>
      <c r="F24" s="24">
        <v>2</v>
      </c>
      <c r="G24" s="46" t="s">
        <v>132</v>
      </c>
      <c r="H24" s="46" t="s">
        <v>96</v>
      </c>
      <c r="I24" s="46" t="s">
        <v>96</v>
      </c>
      <c r="J24" s="46" t="s">
        <v>133</v>
      </c>
      <c r="K24" s="46"/>
    </row>
    <row r="25" s="22" customFormat="1" ht="35" customHeight="1">
      <c r="A25" s="46" t="s">
        <v>169</v>
      </c>
      <c r="B25" s="46" t="s">
        <v>167</v>
      </c>
      <c r="C25" s="46" t="s">
        <v>167</v>
      </c>
      <c r="D25" s="47" t="s">
        <v>168</v>
      </c>
      <c r="E25" s="47" t="s">
        <v>40</v>
      </c>
      <c r="F25" s="24">
        <v>2</v>
      </c>
      <c r="G25" s="46" t="s">
        <v>132</v>
      </c>
      <c r="H25" s="46" t="s">
        <v>96</v>
      </c>
      <c r="I25" s="46" t="s">
        <v>96</v>
      </c>
      <c r="J25" s="46" t="s">
        <v>133</v>
      </c>
      <c r="K25" s="46"/>
    </row>
    <row r="26" s="22" customFormat="1" ht="35" customHeight="1">
      <c r="A26" s="46" t="s">
        <v>170</v>
      </c>
      <c r="B26" s="46" t="s">
        <v>167</v>
      </c>
      <c r="C26" s="46" t="s">
        <v>167</v>
      </c>
      <c r="D26" s="47" t="s">
        <v>168</v>
      </c>
      <c r="E26" s="47" t="s">
        <v>40</v>
      </c>
      <c r="F26" s="24">
        <v>2</v>
      </c>
      <c r="G26" s="46" t="s">
        <v>132</v>
      </c>
      <c r="H26" s="46" t="s">
        <v>96</v>
      </c>
      <c r="I26" s="46" t="s">
        <v>96</v>
      </c>
      <c r="J26" s="46" t="s">
        <v>133</v>
      </c>
      <c r="K26" s="46"/>
    </row>
    <row r="27" s="22" customFormat="1" ht="35" customHeight="1">
      <c r="A27" s="46" t="s">
        <v>171</v>
      </c>
      <c r="B27" s="46" t="s">
        <v>167</v>
      </c>
      <c r="C27" s="46" t="s">
        <v>167</v>
      </c>
      <c r="D27" s="47" t="s">
        <v>168</v>
      </c>
      <c r="E27" s="47" t="s">
        <v>40</v>
      </c>
      <c r="F27" s="24">
        <v>2</v>
      </c>
      <c r="G27" s="46" t="s">
        <v>132</v>
      </c>
      <c r="H27" s="46" t="s">
        <v>96</v>
      </c>
      <c r="I27" s="46" t="s">
        <v>96</v>
      </c>
      <c r="J27" s="46" t="s">
        <v>133</v>
      </c>
      <c r="K27" s="46"/>
    </row>
    <row r="28" s="22" customFormat="1" ht="35" customHeight="1">
      <c r="A28" s="46" t="s">
        <v>172</v>
      </c>
      <c r="B28" s="46" t="s">
        <v>167</v>
      </c>
      <c r="C28" s="46" t="s">
        <v>167</v>
      </c>
      <c r="D28" s="47" t="s">
        <v>168</v>
      </c>
      <c r="E28" s="47" t="s">
        <v>40</v>
      </c>
      <c r="F28" s="24">
        <v>2</v>
      </c>
      <c r="G28" s="46" t="s">
        <v>132</v>
      </c>
      <c r="H28" s="46" t="s">
        <v>96</v>
      </c>
      <c r="I28" s="46" t="s">
        <v>96</v>
      </c>
      <c r="J28" s="46" t="s">
        <v>133</v>
      </c>
      <c r="K28" s="46"/>
    </row>
    <row r="29" s="22" customFormat="1" ht="35" customHeight="1">
      <c r="A29" s="46" t="s">
        <v>173</v>
      </c>
      <c r="B29" s="46" t="s">
        <v>174</v>
      </c>
      <c r="C29" s="46" t="s">
        <v>174</v>
      </c>
      <c r="D29" s="47" t="s">
        <v>168</v>
      </c>
      <c r="E29" s="47" t="s">
        <v>40</v>
      </c>
      <c r="F29" s="24">
        <v>2</v>
      </c>
      <c r="G29" s="46" t="s">
        <v>132</v>
      </c>
      <c r="H29" s="46" t="s">
        <v>96</v>
      </c>
      <c r="I29" s="46" t="s">
        <v>96</v>
      </c>
      <c r="J29" s="46" t="s">
        <v>133</v>
      </c>
      <c r="K29" s="46"/>
    </row>
    <row r="30" s="22" customFormat="1" ht="35" customHeight="1">
      <c r="A30" s="46" t="s">
        <v>175</v>
      </c>
      <c r="B30" s="46" t="s">
        <v>174</v>
      </c>
      <c r="C30" s="46" t="s">
        <v>174</v>
      </c>
      <c r="D30" s="47" t="s">
        <v>168</v>
      </c>
      <c r="E30" s="47" t="s">
        <v>40</v>
      </c>
      <c r="F30" s="24">
        <v>2</v>
      </c>
      <c r="G30" s="46" t="s">
        <v>132</v>
      </c>
      <c r="H30" s="46" t="s">
        <v>96</v>
      </c>
      <c r="I30" s="46" t="s">
        <v>96</v>
      </c>
      <c r="J30" s="46" t="s">
        <v>133</v>
      </c>
      <c r="K30" s="46"/>
    </row>
    <row r="31" s="22" customFormat="1" ht="35" customHeight="1">
      <c r="A31" s="46" t="s">
        <v>176</v>
      </c>
      <c r="B31" s="46" t="s">
        <v>174</v>
      </c>
      <c r="C31" s="46" t="s">
        <v>174</v>
      </c>
      <c r="D31" s="47" t="s">
        <v>168</v>
      </c>
      <c r="E31" s="47" t="s">
        <v>40</v>
      </c>
      <c r="F31" s="24">
        <v>2</v>
      </c>
      <c r="G31" s="46" t="s">
        <v>132</v>
      </c>
      <c r="H31" s="46" t="s">
        <v>96</v>
      </c>
      <c r="I31" s="46" t="s">
        <v>96</v>
      </c>
      <c r="J31" s="46" t="s">
        <v>133</v>
      </c>
      <c r="K31" s="46"/>
    </row>
    <row r="32" s="22" customFormat="1" ht="35" customHeight="1">
      <c r="A32" s="46" t="s">
        <v>177</v>
      </c>
      <c r="B32" s="46" t="s">
        <v>178</v>
      </c>
      <c r="C32" s="46" t="s">
        <v>178</v>
      </c>
      <c r="D32" s="47" t="s">
        <v>179</v>
      </c>
      <c r="E32" s="47" t="s">
        <v>67</v>
      </c>
      <c r="F32" s="24">
        <v>4</v>
      </c>
      <c r="G32" s="46" t="s">
        <v>132</v>
      </c>
      <c r="H32" s="46" t="s">
        <v>96</v>
      </c>
      <c r="I32" s="46" t="s">
        <v>96</v>
      </c>
      <c r="J32" s="46" t="s">
        <v>133</v>
      </c>
      <c r="K32" s="46"/>
    </row>
    <row r="33" s="22" customFormat="1" ht="35" customHeight="1">
      <c r="A33" s="46" t="s">
        <v>180</v>
      </c>
      <c r="B33" s="46" t="s">
        <v>181</v>
      </c>
      <c r="C33" s="46" t="s">
        <v>181</v>
      </c>
      <c r="D33" s="47" t="s">
        <v>179</v>
      </c>
      <c r="E33" s="47" t="s">
        <v>67</v>
      </c>
      <c r="F33" s="24">
        <v>4</v>
      </c>
      <c r="G33" s="46" t="s">
        <v>132</v>
      </c>
      <c r="H33" s="46" t="s">
        <v>96</v>
      </c>
      <c r="I33" s="46" t="s">
        <v>96</v>
      </c>
      <c r="J33" s="46" t="s">
        <v>133</v>
      </c>
      <c r="K33" s="46"/>
    </row>
    <row r="34" s="22" customFormat="1" ht="35" customHeight="1">
      <c r="A34" s="46" t="s">
        <v>182</v>
      </c>
      <c r="B34" s="46" t="s">
        <v>183</v>
      </c>
      <c r="C34" s="46" t="s">
        <v>183</v>
      </c>
      <c r="D34" s="47" t="s">
        <v>179</v>
      </c>
      <c r="E34" s="47" t="s">
        <v>67</v>
      </c>
      <c r="F34" s="24">
        <v>4</v>
      </c>
      <c r="G34" s="46" t="s">
        <v>132</v>
      </c>
      <c r="H34" s="46" t="s">
        <v>96</v>
      </c>
      <c r="I34" s="46" t="s">
        <v>96</v>
      </c>
      <c r="J34" s="46" t="s">
        <v>133</v>
      </c>
      <c r="K34" s="46"/>
    </row>
    <row r="35" s="22" customFormat="1" ht="35" customHeight="1">
      <c r="A35" s="46" t="s">
        <v>184</v>
      </c>
      <c r="B35" s="46" t="s">
        <v>185</v>
      </c>
      <c r="C35" s="46" t="s">
        <v>185</v>
      </c>
      <c r="D35" s="47" t="s">
        <v>179</v>
      </c>
      <c r="E35" s="47" t="s">
        <v>67</v>
      </c>
      <c r="F35" s="24">
        <v>4</v>
      </c>
      <c r="G35" s="46" t="s">
        <v>132</v>
      </c>
      <c r="H35" s="46" t="s">
        <v>96</v>
      </c>
      <c r="I35" s="46" t="s">
        <v>96</v>
      </c>
      <c r="J35" s="46" t="s">
        <v>133</v>
      </c>
      <c r="K35" s="46"/>
    </row>
    <row r="36" s="22" customFormat="1" ht="35" customHeight="1">
      <c r="A36" s="46" t="s">
        <v>186</v>
      </c>
      <c r="B36" s="46" t="s">
        <v>187</v>
      </c>
      <c r="C36" s="46" t="s">
        <v>187</v>
      </c>
      <c r="D36" s="47" t="s">
        <v>179</v>
      </c>
      <c r="E36" s="47" t="s">
        <v>67</v>
      </c>
      <c r="F36" s="24">
        <v>4</v>
      </c>
      <c r="G36" s="46" t="s">
        <v>132</v>
      </c>
      <c r="H36" s="46" t="s">
        <v>96</v>
      </c>
      <c r="I36" s="46" t="s">
        <v>96</v>
      </c>
      <c r="J36" s="46" t="s">
        <v>133</v>
      </c>
      <c r="K36" s="46"/>
    </row>
    <row r="37" s="22" customFormat="1" ht="35" customHeight="1">
      <c r="A37" s="46" t="s">
        <v>69</v>
      </c>
      <c r="B37" s="46" t="s">
        <v>188</v>
      </c>
      <c r="C37" s="46" t="s">
        <v>188</v>
      </c>
      <c r="D37" s="47" t="s">
        <v>189</v>
      </c>
      <c r="E37" s="47" t="s">
        <v>72</v>
      </c>
      <c r="F37" s="24">
        <v>3</v>
      </c>
      <c r="G37" s="46" t="s">
        <v>132</v>
      </c>
      <c r="H37" s="46" t="s">
        <v>96</v>
      </c>
      <c r="I37" s="46" t="s">
        <v>96</v>
      </c>
      <c r="J37" s="46" t="s">
        <v>133</v>
      </c>
      <c r="K37" s="46" t="s">
        <v>190</v>
      </c>
    </row>
    <row r="38" s="22" customFormat="1" ht="35" customHeight="1">
      <c r="A38" s="46" t="s">
        <v>191</v>
      </c>
      <c r="B38" s="46" t="s">
        <v>192</v>
      </c>
      <c r="C38" s="46" t="s">
        <v>192</v>
      </c>
      <c r="D38" s="47" t="s">
        <v>179</v>
      </c>
      <c r="E38" s="47" t="s">
        <v>67</v>
      </c>
      <c r="F38" s="24">
        <v>4</v>
      </c>
      <c r="G38" s="46" t="s">
        <v>132</v>
      </c>
      <c r="H38" s="46" t="s">
        <v>96</v>
      </c>
      <c r="I38" s="46" t="s">
        <v>96</v>
      </c>
      <c r="J38" s="46" t="s">
        <v>133</v>
      </c>
      <c r="K38" s="46"/>
    </row>
  </sheetData>
  <autoFilter ref="A6:K38"/>
  <mergeCells count="2">
    <mergeCell ref="A1:K2"/>
    <mergeCell ref="A3:K3"/>
  </mergeCells>
  <printOptions headings="0" gridLines="0" horizontalCentered="1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85" workbookViewId="0">
      <pane xSplit="3" ySplit="6" topLeftCell="D7" activePane="bottomRight" state="frozen"/>
      <selection activeCell="A1" activeCellId="0" sqref="A1"/>
    </sheetView>
  </sheetViews>
  <sheetFormatPr baseColWidth="8" defaultRowHeight="14.25"/>
  <cols>
    <col customWidth="1" min="1" max="1" style="32" width="29.140625"/>
    <col customWidth="1" min="2" max="2" style="32" width="97.140625"/>
    <col customWidth="1" min="3" max="3" style="32" width="154.421875"/>
    <col customWidth="1" min="4" max="4" style="32" width="19"/>
    <col customWidth="1" min="5" max="5" style="32" width="75"/>
    <col min="6" max="16384" style="32" width="9.140625"/>
  </cols>
  <sheetData>
    <row r="1" s="52" customFormat="1" ht="26" customHeight="1">
      <c r="A1" s="53" t="s">
        <v>193</v>
      </c>
      <c r="B1" s="54"/>
      <c r="C1" s="54"/>
      <c r="D1" s="54"/>
      <c r="E1" s="54"/>
    </row>
    <row r="2" s="52" customFormat="1" ht="18" customHeight="1">
      <c r="A2" s="54"/>
      <c r="B2" s="54"/>
      <c r="C2" s="54"/>
      <c r="D2" s="54"/>
      <c r="E2" s="54"/>
    </row>
    <row r="3" ht="28" customHeight="1">
      <c r="A3" s="55" t="s">
        <v>194</v>
      </c>
      <c r="B3" s="56"/>
      <c r="C3" s="56"/>
      <c r="D3" s="56"/>
      <c r="E3" s="56"/>
    </row>
    <row r="6" s="38" customFormat="1" ht="40" customHeight="1">
      <c r="A6" s="44" t="s">
        <v>195</v>
      </c>
      <c r="B6" s="44" t="s">
        <v>196</v>
      </c>
      <c r="C6" s="44" t="s">
        <v>197</v>
      </c>
      <c r="D6" s="44" t="s">
        <v>198</v>
      </c>
      <c r="E6" s="44" t="s">
        <v>199</v>
      </c>
    </row>
    <row r="7" s="57" customFormat="1" ht="74" customHeight="1">
      <c r="A7" s="58" t="s">
        <v>200</v>
      </c>
      <c r="B7" s="58" t="s">
        <v>201</v>
      </c>
      <c r="C7" s="58" t="s">
        <v>202</v>
      </c>
      <c r="D7" s="59" t="s">
        <v>203</v>
      </c>
      <c r="E7" s="60" t="s">
        <v>204</v>
      </c>
    </row>
    <row r="8" s="57" customFormat="1" ht="74" customHeight="1">
      <c r="A8" s="58" t="s">
        <v>205</v>
      </c>
      <c r="B8" s="58" t="s">
        <v>206</v>
      </c>
      <c r="C8" s="58" t="s">
        <v>207</v>
      </c>
      <c r="D8" s="59" t="s">
        <v>203</v>
      </c>
      <c r="E8" s="60" t="s">
        <v>208</v>
      </c>
    </row>
    <row r="9" s="57" customFormat="1" ht="74" customHeight="1">
      <c r="A9" s="58" t="s">
        <v>209</v>
      </c>
      <c r="B9" s="58" t="s">
        <v>210</v>
      </c>
      <c r="C9" s="58" t="s">
        <v>211</v>
      </c>
      <c r="D9" s="59" t="s">
        <v>203</v>
      </c>
      <c r="E9" s="60" t="s">
        <v>212</v>
      </c>
    </row>
    <row r="10" s="57" customFormat="1" ht="74" customHeight="1">
      <c r="A10" s="58" t="s">
        <v>213</v>
      </c>
      <c r="B10" s="58" t="s">
        <v>214</v>
      </c>
      <c r="C10" s="58" t="s">
        <v>215</v>
      </c>
      <c r="D10" s="59" t="s">
        <v>203</v>
      </c>
      <c r="E10" s="59" t="s">
        <v>216</v>
      </c>
    </row>
    <row r="11" s="57" customFormat="1" ht="74" customHeight="1">
      <c r="A11" s="58" t="s">
        <v>217</v>
      </c>
      <c r="B11" s="58" t="s">
        <v>218</v>
      </c>
      <c r="C11" s="58" t="s">
        <v>219</v>
      </c>
      <c r="D11" s="59" t="s">
        <v>220</v>
      </c>
      <c r="E11" s="59" t="s">
        <v>221</v>
      </c>
    </row>
    <row r="12" s="57" customFormat="1" ht="74" customHeight="1">
      <c r="A12" s="58" t="s">
        <v>222</v>
      </c>
      <c r="B12" s="58" t="s">
        <v>223</v>
      </c>
      <c r="C12" s="58" t="s">
        <v>224</v>
      </c>
      <c r="D12" s="59" t="s">
        <v>220</v>
      </c>
      <c r="E12" s="59" t="s">
        <v>225</v>
      </c>
    </row>
    <row r="13" s="57" customFormat="1" ht="74" customHeight="1">
      <c r="A13" s="58" t="s">
        <v>146</v>
      </c>
      <c r="B13" s="58" t="s">
        <v>226</v>
      </c>
      <c r="C13" s="58" t="s">
        <v>227</v>
      </c>
      <c r="D13" s="59" t="s">
        <v>220</v>
      </c>
      <c r="E13" s="59" t="s">
        <v>225</v>
      </c>
    </row>
    <row r="14" s="57" customFormat="1" ht="74" customHeight="1">
      <c r="A14" s="58" t="s">
        <v>228</v>
      </c>
      <c r="B14" s="58" t="s">
        <v>229</v>
      </c>
      <c r="C14" s="58" t="s">
        <v>230</v>
      </c>
      <c r="D14" s="59" t="s">
        <v>220</v>
      </c>
      <c r="E14" s="59" t="s">
        <v>231</v>
      </c>
    </row>
    <row r="15" s="57" customFormat="1" ht="74" customHeight="1">
      <c r="A15" s="58" t="s">
        <v>232</v>
      </c>
      <c r="B15" s="58" t="s">
        <v>233</v>
      </c>
      <c r="C15" s="58" t="s">
        <v>234</v>
      </c>
      <c r="D15" s="59" t="s">
        <v>220</v>
      </c>
      <c r="E15" s="59" t="s">
        <v>231</v>
      </c>
    </row>
    <row r="16" s="57" customFormat="1" ht="74" customHeight="1">
      <c r="A16" s="58" t="s">
        <v>235</v>
      </c>
      <c r="B16" s="58" t="s">
        <v>236</v>
      </c>
      <c r="C16" s="58" t="s">
        <v>237</v>
      </c>
      <c r="D16" s="59" t="s">
        <v>238</v>
      </c>
      <c r="E16" s="59" t="s">
        <v>231</v>
      </c>
    </row>
    <row r="17" s="57" customFormat="1" ht="74" customHeight="1">
      <c r="A17" s="58" t="s">
        <v>239</v>
      </c>
      <c r="B17" s="58" t="s">
        <v>240</v>
      </c>
      <c r="C17" s="58" t="s">
        <v>241</v>
      </c>
      <c r="D17" s="59" t="s">
        <v>242</v>
      </c>
      <c r="E17" s="59" t="s">
        <v>225</v>
      </c>
    </row>
    <row r="18" s="57" customFormat="1" ht="74" customHeight="1">
      <c r="A18" s="58" t="s">
        <v>243</v>
      </c>
      <c r="B18" s="58" t="s">
        <v>244</v>
      </c>
      <c r="C18" s="58" t="s">
        <v>245</v>
      </c>
      <c r="D18" s="59" t="s">
        <v>238</v>
      </c>
      <c r="E18" s="59" t="s">
        <v>246</v>
      </c>
    </row>
  </sheetData>
  <autoFilter ref="A6:E18"/>
  <mergeCells count="2">
    <mergeCell ref="A1:E2"/>
    <mergeCell ref="A3:E3"/>
  </mergeCells>
  <hyperlinks>
    <hyperlink r:id="rId1" ref="E7"/>
    <hyperlink r:id="rId2" ref="E8"/>
    <hyperlink r:id="rId3" ref="E9"/>
  </hyperlinks>
  <printOptions headings="0" gridLines="0" horizontalCentered="1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85" workbookViewId="0">
      <pane xSplit="3" ySplit="3" topLeftCell="D4" activePane="bottomRight" state="frozen"/>
      <selection activeCell="A1" activeCellId="0" sqref="A1"/>
    </sheetView>
  </sheetViews>
  <sheetFormatPr baseColWidth="8" defaultRowHeight="14.25"/>
  <cols>
    <col customWidth="1" min="1" max="1" style="37" width="36"/>
    <col customWidth="1" min="2" max="2" style="37" width="112"/>
    <col customWidth="1" min="3" max="5" style="37" width="4"/>
    <col min="6" max="16384" style="37" width="9.140625"/>
  </cols>
  <sheetData>
    <row r="1" s="38" customFormat="1" ht="26" customHeight="1">
      <c r="A1" s="61" t="s">
        <v>247</v>
      </c>
      <c r="B1" s="62"/>
      <c r="C1" s="62"/>
      <c r="D1" s="62"/>
      <c r="E1" s="62"/>
    </row>
    <row r="2" s="38" customFormat="1" ht="18" customHeight="1">
      <c r="A2" s="62"/>
      <c r="B2" s="62"/>
      <c r="C2" s="62"/>
      <c r="D2" s="62"/>
      <c r="E2" s="62"/>
    </row>
    <row r="3" s="38" customFormat="1" ht="40" customHeight="1">
      <c r="A3" s="45" t="s">
        <v>238</v>
      </c>
      <c r="B3" s="45" t="s">
        <v>248</v>
      </c>
      <c r="C3" s="38"/>
      <c r="D3" s="38"/>
      <c r="E3" s="38"/>
    </row>
    <row r="4" ht="35" customHeight="1">
      <c r="A4" s="63" t="s">
        <v>249</v>
      </c>
      <c r="B4" s="64" t="s">
        <v>250</v>
      </c>
    </row>
    <row r="5" ht="35" customHeight="1">
      <c r="A5" s="63" t="s">
        <v>251</v>
      </c>
      <c r="B5" s="64" t="s">
        <v>252</v>
      </c>
    </row>
    <row r="6" ht="35" customHeight="1">
      <c r="A6" s="63" t="s">
        <v>253</v>
      </c>
      <c r="B6" s="64" t="s">
        <v>254</v>
      </c>
    </row>
    <row r="7" ht="35" customHeight="1">
      <c r="A7" s="65" t="s">
        <v>255</v>
      </c>
      <c r="B7" s="66" t="s">
        <v>256</v>
      </c>
    </row>
    <row r="8" ht="35" customHeight="1">
      <c r="A8" s="65" t="s">
        <v>257</v>
      </c>
      <c r="B8" s="66" t="s">
        <v>258</v>
      </c>
    </row>
    <row r="9" ht="35" customHeight="1">
      <c r="A9" s="65" t="s">
        <v>259</v>
      </c>
      <c r="B9" s="66" t="s">
        <v>260</v>
      </c>
    </row>
    <row r="10" ht="35" customHeight="1">
      <c r="A10" s="65" t="s">
        <v>261</v>
      </c>
      <c r="B10" s="66" t="s">
        <v>262</v>
      </c>
    </row>
    <row r="11" ht="35" customHeight="1">
      <c r="A11" s="65" t="s">
        <v>263</v>
      </c>
      <c r="B11" s="66" t="s">
        <v>264</v>
      </c>
    </row>
    <row r="12" ht="35" customHeight="1">
      <c r="A12" s="65" t="s">
        <v>265</v>
      </c>
      <c r="B12" s="66" t="s">
        <v>266</v>
      </c>
    </row>
    <row r="13" ht="35" customHeight="1">
      <c r="A13" s="65" t="s">
        <v>267</v>
      </c>
      <c r="B13" s="66" t="s">
        <v>268</v>
      </c>
    </row>
    <row r="14" ht="14.25">
      <c r="A14" s="19"/>
      <c r="B14" s="19"/>
    </row>
    <row r="15" ht="14.25">
      <c r="A15" s="19"/>
      <c r="B15" s="19"/>
    </row>
    <row r="16" ht="17.25">
      <c r="A16" s="67" t="s">
        <v>269</v>
      </c>
      <c r="B16" s="19"/>
    </row>
    <row r="17" ht="24" customHeight="1">
      <c r="A17" s="37" t="s">
        <v>270</v>
      </c>
      <c r="B17" s="68" t="s">
        <v>204</v>
      </c>
    </row>
    <row r="18" ht="23" customHeight="1">
      <c r="A18" s="37" t="s">
        <v>271</v>
      </c>
      <c r="B18" s="68" t="s">
        <v>208</v>
      </c>
    </row>
    <row r="19" ht="25" customHeight="1">
      <c r="A19" s="37" t="s">
        <v>272</v>
      </c>
      <c r="B19" s="68" t="s">
        <v>212</v>
      </c>
    </row>
  </sheetData>
  <mergeCells count="1">
    <mergeCell ref="A1:E2"/>
  </mergeCells>
  <hyperlinks>
    <hyperlink r:id="rId1" ref="B17"/>
    <hyperlink r:id="rId2" ref="B18"/>
    <hyperlink r:id="rId3" ref="B19"/>
  </hyperlinks>
  <printOptions headings="0" gridLines="0" horizontalCentered="1"/>
  <pageMargins left="0.75" right="0.75" top="1" bottom="1" header="0.5" footer="0.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2026-10-08T07:44:22Z</dcterms:created>
  <dcterms:modified xsi:type="dcterms:W3CDTF">2026-10-08T08:19:04Z</dcterms:modified>
</cp:coreProperties>
</file>